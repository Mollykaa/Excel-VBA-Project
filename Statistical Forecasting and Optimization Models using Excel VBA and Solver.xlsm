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wnloads\"/>
    </mc:Choice>
  </mc:AlternateContent>
  <xr:revisionPtr revIDLastSave="0" documentId="13_ncr:1_{89F16A82-334F-42EE-95C6-B03A319A01BF}" xr6:coauthVersionLast="47" xr6:coauthVersionMax="47" xr10:uidLastSave="{00000000-0000-0000-0000-000000000000}"/>
  <bookViews>
    <workbookView xWindow="-120" yWindow="-120" windowWidth="20730" windowHeight="11160" xr2:uid="{D505323F-AC25-4627-B749-0EC932500D5C}"/>
  </bookViews>
  <sheets>
    <sheet name="L13" sheetId="3" r:id="rId1"/>
    <sheet name="L14" sheetId="7" r:id="rId2"/>
    <sheet name="L15.1" sheetId="8" r:id="rId3"/>
    <sheet name="L15.2" sheetId="9" r:id="rId4"/>
    <sheet name="L16.1" sheetId="10" r:id="rId5"/>
    <sheet name="L16.2" sheetId="11" r:id="rId6"/>
    <sheet name="L16.3" sheetId="12" r:id="rId7"/>
  </sheets>
  <definedNames>
    <definedName name="ABS_P1_P2_Price">'L13'!$B$36:$B$56</definedName>
    <definedName name="Actual_Sales">'L15.1'!$F$11:$F$24</definedName>
    <definedName name="Allocation">'L15.2'!$C$10:$C$20</definedName>
    <definedName name="Avail1">'L16.3'!$G$15:$G$21</definedName>
    <definedName name="Avail2">'L16.3'!$H$15:$H$21</definedName>
    <definedName name="Avail3">'L16.3'!$I$15:$I$21</definedName>
    <definedName name="Available_Funds" localSheetId="3">'L15.2'!$D$25</definedName>
    <definedName name="Available_Funds">'L15.1'!$I$30</definedName>
    <definedName name="Available_Supply">'L16.1'!$B$27:$D$27</definedName>
    <definedName name="Capacity">'L16.2'!$B$28:$D$28</definedName>
    <definedName name="cFish">'L14'!$B$21</definedName>
    <definedName name="City_Truck">'L16.2'!$C$17:$C$24</definedName>
    <definedName name="Cost_per_Stop">'L16.2'!$B$29:$D$29</definedName>
    <definedName name="cSteak">'L14'!$B$22</definedName>
    <definedName name="cTable">'L14'!$B$23</definedName>
    <definedName name="Current_Inventory">'L15.1'!$B$11:$B$24</definedName>
    <definedName name="Delivered">'L16.2'!$E$17:$E$24</definedName>
    <definedName name="Demand">'L16.2'!$F$17:$F$24</definedName>
    <definedName name="Expected_Demand">'L15.1'!$C$11:$C$24</definedName>
    <definedName name="Expected_Returns">'L15.2'!$F$23</definedName>
    <definedName name="Expected_Risk">'L15.2'!$F$25</definedName>
    <definedName name="HistOut">'L14'!$K$37</definedName>
    <definedName name="Investment">'L15.2'!$D$10:$D$20</definedName>
    <definedName name="InvTStart">'L13'!$A$8</definedName>
    <definedName name="Lost_Sales">'L15.1'!$G$11:$G$24</definedName>
    <definedName name="Lost_Sales_Cost">'L15.1'!$I$11:$I$24</definedName>
    <definedName name="Max_Allocation">'L15.2'!$C$25</definedName>
    <definedName name="Max_Shifts">'L16.3'!$B$24:$D$24</definedName>
    <definedName name="Min_Allocation">'L15.2'!$C$23</definedName>
    <definedName name="Min_to_Select">'L15.2'!$B$25</definedName>
    <definedName name="Mini_Truck">'L16.2'!$D$17:$D$24</definedName>
    <definedName name="nGuests">'L14'!$B$17</definedName>
    <definedName name="nTables">'L14'!$B$18</definedName>
    <definedName name="Number_Stops">'L16.2'!$B$27:$D$27</definedName>
    <definedName name="Order_Cost">'L15.1'!$H$11:$H$24</definedName>
    <definedName name="Order_Quantity">'L15.1'!$D$11:$D$24</definedName>
    <definedName name="P1_Sales">'L13'!$C$10:$C$29</definedName>
    <definedName name="p1sales">'L13'!$C$36:$C$56</definedName>
    <definedName name="P2_Price">'L13'!$D$10:$D$29</definedName>
    <definedName name="Pay_per_Shift">'L16.3'!$B$25</definedName>
    <definedName name="pFish">'L14'!$B$19</definedName>
    <definedName name="PIntervals">'L14'!$J$38:$J$58</definedName>
    <definedName name="pSteak">'L14'!$B$20</definedName>
    <definedName name="Report">'L14'!$K$31:$L$33</definedName>
    <definedName name="Return_Rate">'L15.2'!$E$10:$E$20</definedName>
    <definedName name="Risk_Rate">'L15.2'!$F$10:$F$20</definedName>
    <definedName name="Sales_Price">'L15.1'!$J$11:$J$24</definedName>
    <definedName name="Selected">'L15.2'!$B$10:$B$20</definedName>
    <definedName name="Shifts">'L16.3'!$A$15:$A$21</definedName>
    <definedName name="Shifts_per_Staff">'L16.3'!$B$23:$D$23</definedName>
    <definedName name="ShipCost">'L16.1'!$I$17:$K$24</definedName>
    <definedName name="ShipDV">'L16.1'!$B$17:$D$24</definedName>
    <definedName name="solver_adj" localSheetId="2" hidden="1">'L15.1'!$D$11:$D$24</definedName>
    <definedName name="solver_adj" localSheetId="3" hidden="1">'L15.2'!$B$10:$B$20,'L15.2'!$C$10:$C$20</definedName>
    <definedName name="solver_adj" localSheetId="4" hidden="1">'L16.1'!$B$17:$D$24</definedName>
    <definedName name="solver_adj" localSheetId="5" hidden="1">'L16.2'!$B$17:$D$24</definedName>
    <definedName name="solver_adj" localSheetId="6" hidden="1">'L16.3'!$B$15:$D$21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eng" localSheetId="2" hidden="1">1</definedName>
    <definedName name="solver_eng" localSheetId="3" hidden="1">1</definedName>
    <definedName name="solver_eng" localSheetId="4" hidden="1">2</definedName>
    <definedName name="solver_eng" localSheetId="5" hidden="1">2</definedName>
    <definedName name="solver_eng" localSheetId="6" hidden="1">2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lhs1" localSheetId="2" hidden="1">'L15.1'!$D$11:$D$24</definedName>
    <definedName name="solver_lhs1" localSheetId="3" hidden="1">'L15.2'!$C$10:$C$20</definedName>
    <definedName name="solver_lhs1" localSheetId="4" hidden="1">'L16.1'!$B$17:$D$24</definedName>
    <definedName name="solver_lhs1" localSheetId="5" hidden="1">'L16.2'!$E$17:$E$24</definedName>
    <definedName name="solver_lhs1" localSheetId="6" hidden="1">'L16.3'!$B$23:$D$23</definedName>
    <definedName name="solver_lhs2" localSheetId="2" hidden="1">'L15.1'!$H$30</definedName>
    <definedName name="solver_lhs2" localSheetId="3" hidden="1">'L15.2'!$C$10:$C$20</definedName>
    <definedName name="solver_lhs2" localSheetId="4" hidden="1">'L16.1'!$B$26:$D$26</definedName>
    <definedName name="solver_lhs2" localSheetId="5" hidden="1">'L16.2'!$B$26:$D$26</definedName>
    <definedName name="solver_lhs2" localSheetId="6" hidden="1">'L16.3'!$B$15:$D$21</definedName>
    <definedName name="solver_lhs3" localSheetId="3" hidden="1">'L15.2'!$B$10:$B$20</definedName>
    <definedName name="solver_lhs3" localSheetId="4" hidden="1">'L16.1'!$E$17:$E$24</definedName>
    <definedName name="solver_lhs3" localSheetId="5" hidden="1">'L16.2'!$B$17:$D$24</definedName>
    <definedName name="solver_lhs3" localSheetId="6" hidden="1">'L16.3'!$E$15:$E$21</definedName>
    <definedName name="solver_lhs4" localSheetId="3" hidden="1">'L15.2'!$D$23</definedName>
    <definedName name="solver_lhs4" localSheetId="6" hidden="1">'L16.3'!$E$15:$E$21</definedName>
    <definedName name="solver_lhs5" localSheetId="3" hidden="1">'L15.2'!$B$23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um" localSheetId="2" hidden="1">2</definedName>
    <definedName name="solver_num" localSheetId="3" hidden="1">5</definedName>
    <definedName name="solver_num" localSheetId="4" hidden="1">3</definedName>
    <definedName name="solver_num" localSheetId="5" hidden="1">3</definedName>
    <definedName name="solver_num" localSheetId="6" hidden="1">3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opt" localSheetId="2" hidden="1">'L15.1'!$J$30</definedName>
    <definedName name="solver_opt" localSheetId="3" hidden="1">'L15.2'!$F$23</definedName>
    <definedName name="solver_opt" localSheetId="4" hidden="1">'L16.1'!$I$26</definedName>
    <definedName name="solver_opt" localSheetId="5" hidden="1">'L16.2'!$B$32</definedName>
    <definedName name="solver_opt" localSheetId="6" hidden="1">'L16.3'!$B$26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el1" localSheetId="2" hidden="1">4</definedName>
    <definedName name="solver_rel1" localSheetId="3" hidden="1">1</definedName>
    <definedName name="solver_rel1" localSheetId="4" hidden="1">4</definedName>
    <definedName name="solver_rel1" localSheetId="5" hidden="1">2</definedName>
    <definedName name="solver_rel1" localSheetId="6" hidden="1">1</definedName>
    <definedName name="solver_rel2" localSheetId="2" hidden="1">1</definedName>
    <definedName name="solver_rel2" localSheetId="3" hidden="1">3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3" localSheetId="3" hidden="1">5</definedName>
    <definedName name="solver_rel3" localSheetId="4" hidden="1">3</definedName>
    <definedName name="solver_rel3" localSheetId="5" hidden="1">5</definedName>
    <definedName name="solver_rel3" localSheetId="6" hidden="1">3</definedName>
    <definedName name="solver_rel4" localSheetId="3" hidden="1">1</definedName>
    <definedName name="solver_rel4" localSheetId="6" hidden="1">2</definedName>
    <definedName name="solver_rel5" localSheetId="3" hidden="1">3</definedName>
    <definedName name="solver_rhs1" localSheetId="2" hidden="1">"integer"</definedName>
    <definedName name="solver_rhs1" localSheetId="3" hidden="1">Max_Allocation</definedName>
    <definedName name="solver_rhs1" localSheetId="4" hidden="1">"integer"</definedName>
    <definedName name="solver_rhs1" localSheetId="5" hidden="1">1</definedName>
    <definedName name="solver_rhs1" localSheetId="6" hidden="1">Max_Shifts</definedName>
    <definedName name="solver_rhs2" localSheetId="2" hidden="1">Available_Funds</definedName>
    <definedName name="solver_rhs2" localSheetId="3" hidden="1">Min_Allocation</definedName>
    <definedName name="solver_rhs2" localSheetId="4" hidden="1">Available_Supply</definedName>
    <definedName name="solver_rhs2" localSheetId="5" hidden="1">Capacity</definedName>
    <definedName name="solver_rhs2" localSheetId="6" hidden="1">StaffAvail</definedName>
    <definedName name="solver_rhs3" localSheetId="3" hidden="1">"binary"</definedName>
    <definedName name="solver_rhs3" localSheetId="4" hidden="1">Total_Demand</definedName>
    <definedName name="solver_rhs3" localSheetId="5" hidden="1">"binary"</definedName>
    <definedName name="solver_rhs3" localSheetId="6" hidden="1">Staff_Needed</definedName>
    <definedName name="solver_rhs4" localSheetId="3" hidden="1">'L15.2'!$D$25</definedName>
    <definedName name="solver_rhs4" localSheetId="6" hidden="1">Staff_Needed</definedName>
    <definedName name="solver_rhs5" localSheetId="3" hidden="1">Min_to_Select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yp" localSheetId="2" hidden="1">1</definedName>
    <definedName name="solver_typ" localSheetId="3" hidden="1">1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val" localSheetId="2" hidden="1">100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taff_Assigned">'L16.3'!$E$15:$E$21</definedName>
    <definedName name="Staff_Needed">'L16.3'!$F$15:$F$21</definedName>
    <definedName name="StaffAvail">'L16.3'!$G$15:$I$21</definedName>
    <definedName name="StaffDV">'L16.3'!$B$15:$D$21</definedName>
    <definedName name="StatusBar">'L14'!$A$30</definedName>
    <definedName name="Time_per_Stop">'L16.2'!$B$30:$D$30</definedName>
    <definedName name="Toll_Truck">'L16.2'!$B$17:$B$24</definedName>
    <definedName name="Total_Assign_Cost">'L16.2'!$B$31</definedName>
    <definedName name="Total_Assign_Time">'L16.2'!$B$32</definedName>
    <definedName name="Total_Cost">'L16.1'!$I$26</definedName>
    <definedName name="Total_Costs">'L15.1'!$H$30</definedName>
    <definedName name="Total_Demand">'L16.1'!$F$17:$F$24</definedName>
    <definedName name="Total_From_WH">'L16.1'!$B$26:$D$26</definedName>
    <definedName name="Total_Holding">'L15.1'!$I$27</definedName>
    <definedName name="Total_Invested">'L15.2'!$D$23</definedName>
    <definedName name="Total_Load">'L16.2'!$B$26:$D$26</definedName>
    <definedName name="Total_Order">'L15.1'!$H$27</definedName>
    <definedName name="Total_Pay_Cost">'L16.3'!$B$26</definedName>
    <definedName name="Total_Profit">'L15.1'!$J$30</definedName>
    <definedName name="Total_Revenue">'L15.1'!$J$27</definedName>
    <definedName name="Total_Selected">'L15.2'!$B$23</definedName>
    <definedName name="Total_To_City">'L16.1'!$E$17:$E$24</definedName>
    <definedName name="TotalCost">'L14'!$B$24</definedName>
    <definedName name="TruckDV">'L16.2'!$B$17:$D$24</definedName>
    <definedName name="TStart">'L14'!$A$31</definedName>
    <definedName name="Updated_Inventory">'L15.1'!$E$11:$E$24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10" i="9"/>
  <c r="F23" i="9" l="1"/>
  <c r="B18" i="7"/>
  <c r="E15" i="12"/>
  <c r="D23" i="12"/>
  <c r="C23" i="12"/>
  <c r="B23" i="12"/>
  <c r="E16" i="12"/>
  <c r="E17" i="12"/>
  <c r="E18" i="12"/>
  <c r="E19" i="12"/>
  <c r="E20" i="12"/>
  <c r="E21" i="12"/>
  <c r="D27" i="11"/>
  <c r="C27" i="11"/>
  <c r="B27" i="11"/>
  <c r="D26" i="11"/>
  <c r="C26" i="11"/>
  <c r="B26" i="11"/>
  <c r="E18" i="11"/>
  <c r="E19" i="11"/>
  <c r="E20" i="11"/>
  <c r="E21" i="11"/>
  <c r="E22" i="11"/>
  <c r="E23" i="11"/>
  <c r="E24" i="11"/>
  <c r="E17" i="11"/>
  <c r="I26" i="10"/>
  <c r="D26" i="10"/>
  <c r="C26" i="10"/>
  <c r="B26" i="10"/>
  <c r="E18" i="10"/>
  <c r="E19" i="10"/>
  <c r="E20" i="10"/>
  <c r="E21" i="10"/>
  <c r="E22" i="10"/>
  <c r="E23" i="10"/>
  <c r="E24" i="10"/>
  <c r="E17" i="10"/>
  <c r="B26" i="12" l="1"/>
  <c r="B32" i="11"/>
  <c r="B31" i="11"/>
  <c r="B23" i="9"/>
  <c r="H27" i="8"/>
  <c r="E12" i="8"/>
  <c r="F12" i="8" s="1"/>
  <c r="G12" i="8" s="1"/>
  <c r="E13" i="8"/>
  <c r="F13" i="8" s="1"/>
  <c r="G13" i="8" s="1"/>
  <c r="E14" i="8"/>
  <c r="F14" i="8" s="1"/>
  <c r="G14" i="8" s="1"/>
  <c r="E15" i="8"/>
  <c r="F15" i="8" s="1"/>
  <c r="G15" i="8" s="1"/>
  <c r="E16" i="8"/>
  <c r="F16" i="8" s="1"/>
  <c r="G16" i="8" s="1"/>
  <c r="E17" i="8"/>
  <c r="F17" i="8" s="1"/>
  <c r="G17" i="8" s="1"/>
  <c r="E18" i="8"/>
  <c r="F18" i="8" s="1"/>
  <c r="G18" i="8" s="1"/>
  <c r="E19" i="8"/>
  <c r="F19" i="8" s="1"/>
  <c r="G19" i="8" s="1"/>
  <c r="E20" i="8"/>
  <c r="F20" i="8" s="1"/>
  <c r="G20" i="8" s="1"/>
  <c r="E21" i="8"/>
  <c r="F21" i="8" s="1"/>
  <c r="G21" i="8" s="1"/>
  <c r="E22" i="8"/>
  <c r="F22" i="8" s="1"/>
  <c r="G22" i="8" s="1"/>
  <c r="E23" i="8"/>
  <c r="F23" i="8" s="1"/>
  <c r="G23" i="8" s="1"/>
  <c r="E24" i="8"/>
  <c r="F24" i="8" s="1"/>
  <c r="G24" i="8" s="1"/>
  <c r="E11" i="8"/>
  <c r="F11" i="8" s="1"/>
  <c r="D23" i="9" l="1"/>
  <c r="F25" i="9"/>
  <c r="G11" i="8"/>
  <c r="I27" i="8" s="1"/>
  <c r="H30" i="8" s="1"/>
  <c r="J27" i="8"/>
  <c r="J30" i="8" l="1"/>
  <c r="B20" i="7" l="1"/>
  <c r="B24" i="7" s="1"/>
  <c r="J18" i="7" s="1"/>
  <c r="I31" i="3" l="1"/>
  <c r="I30" i="3"/>
  <c r="B38" i="3" l="1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37" i="3"/>
  <c r="E59" i="3" l="1" a="1"/>
  <c r="E59" i="3" s="1"/>
  <c r="D59" i="3" a="1"/>
  <c r="D59" i="3" s="1"/>
  <c r="G67" i="3" a="1"/>
  <c r="G67" i="3" s="1"/>
  <c r="E40" i="3" a="1"/>
  <c r="E40" i="3" s="1"/>
  <c r="H40" i="3" s="1"/>
  <c r="E43" i="3" a="1"/>
  <c r="E43" i="3" s="1"/>
  <c r="H43" i="3" s="1"/>
  <c r="E48" i="3" a="1"/>
  <c r="E48" i="3" s="1"/>
  <c r="H48" i="3" s="1"/>
  <c r="E51" i="3" a="1"/>
  <c r="E51" i="3" s="1"/>
  <c r="H51" i="3" s="1"/>
  <c r="E56" i="3" a="1"/>
  <c r="E56" i="3" s="1"/>
  <c r="H56" i="3" s="1"/>
  <c r="D45" i="3" a="1"/>
  <c r="D45" i="3" s="1"/>
  <c r="G45" i="3" s="1"/>
  <c r="D48" i="3" a="1"/>
  <c r="D48" i="3" s="1"/>
  <c r="G48" i="3" s="1"/>
  <c r="D53" i="3" a="1"/>
  <c r="D53" i="3" s="1"/>
  <c r="G53" i="3" s="1"/>
  <c r="D56" i="3" a="1"/>
  <c r="D56" i="3" s="1"/>
  <c r="G56" i="3" s="1"/>
  <c r="D37" i="3" a="1"/>
  <c r="D37" i="3" s="1"/>
  <c r="G37" i="3" s="1"/>
  <c r="E53" i="3" a="1"/>
  <c r="E53" i="3" s="1"/>
  <c r="H53" i="3" s="1"/>
  <c r="D42" i="3" a="1"/>
  <c r="D42" i="3" s="1"/>
  <c r="G42" i="3" s="1"/>
  <c r="D40" i="3" a="1"/>
  <c r="D40" i="3" s="1"/>
  <c r="G40" i="3" s="1"/>
  <c r="E38" i="3" a="1"/>
  <c r="E38" i="3" s="1"/>
  <c r="H38" i="3" s="1"/>
  <c r="E41" i="3" a="1"/>
  <c r="E41" i="3" s="1"/>
  <c r="H41" i="3" s="1"/>
  <c r="E46" i="3" a="1"/>
  <c r="E46" i="3" s="1"/>
  <c r="H46" i="3" s="1"/>
  <c r="E49" i="3" a="1"/>
  <c r="E49" i="3" s="1"/>
  <c r="H49" i="3" s="1"/>
  <c r="E54" i="3" a="1"/>
  <c r="E54" i="3" s="1"/>
  <c r="H54" i="3" s="1"/>
  <c r="E37" i="3" a="1"/>
  <c r="E37" i="3" s="1"/>
  <c r="H37" i="3" s="1"/>
  <c r="D43" i="3" a="1"/>
  <c r="D43" i="3" s="1"/>
  <c r="G43" i="3" s="1"/>
  <c r="D46" i="3" a="1"/>
  <c r="D46" i="3" s="1"/>
  <c r="G46" i="3" s="1"/>
  <c r="D51" i="3" a="1"/>
  <c r="D51" i="3" s="1"/>
  <c r="G51" i="3" s="1"/>
  <c r="D54" i="3" a="1"/>
  <c r="D54" i="3" s="1"/>
  <c r="G54" i="3" s="1"/>
  <c r="D38" i="3" a="1"/>
  <c r="D38" i="3" s="1"/>
  <c r="G38" i="3" s="1"/>
  <c r="E50" i="3" a="1"/>
  <c r="E50" i="3" s="1"/>
  <c r="H50" i="3" s="1"/>
  <c r="D47" i="3" a="1"/>
  <c r="D47" i="3" s="1"/>
  <c r="G47" i="3" s="1"/>
  <c r="D55" i="3" a="1"/>
  <c r="D55" i="3" s="1"/>
  <c r="G55" i="3" s="1"/>
  <c r="E39" i="3" a="1"/>
  <c r="E39" i="3" s="1"/>
  <c r="H39" i="3" s="1"/>
  <c r="E44" i="3" a="1"/>
  <c r="E44" i="3" s="1"/>
  <c r="H44" i="3" s="1"/>
  <c r="E47" i="3" a="1"/>
  <c r="E47" i="3" s="1"/>
  <c r="H47" i="3" s="1"/>
  <c r="E52" i="3" a="1"/>
  <c r="E52" i="3" s="1"/>
  <c r="H52" i="3" s="1"/>
  <c r="E55" i="3" a="1"/>
  <c r="E55" i="3" s="1"/>
  <c r="H55" i="3" s="1"/>
  <c r="D41" i="3" a="1"/>
  <c r="D41" i="3" s="1"/>
  <c r="G41" i="3" s="1"/>
  <c r="D44" i="3" a="1"/>
  <c r="D44" i="3" s="1"/>
  <c r="G44" i="3" s="1"/>
  <c r="D49" i="3" a="1"/>
  <c r="D49" i="3" s="1"/>
  <c r="G49" i="3" s="1"/>
  <c r="D52" i="3" a="1"/>
  <c r="D52" i="3" s="1"/>
  <c r="G52" i="3" s="1"/>
  <c r="D39" i="3" a="1"/>
  <c r="D39" i="3" s="1"/>
  <c r="G39" i="3" s="1"/>
  <c r="E42" i="3" a="1"/>
  <c r="E42" i="3" s="1"/>
  <c r="H42" i="3" s="1"/>
  <c r="E45" i="3" a="1"/>
  <c r="E45" i="3" s="1"/>
  <c r="H45" i="3" s="1"/>
  <c r="D50" i="3" a="1"/>
  <c r="D50" i="3" s="1"/>
  <c r="G50" i="3" s="1"/>
  <c r="F59" i="3" l="1"/>
  <c r="F39" i="3"/>
  <c r="I39" i="3" s="1"/>
  <c r="F43" i="3"/>
  <c r="I43" i="3" s="1"/>
  <c r="F47" i="3"/>
  <c r="I47" i="3" s="1"/>
  <c r="F51" i="3"/>
  <c r="I51" i="3" s="1"/>
  <c r="F55" i="3"/>
  <c r="I55" i="3" s="1"/>
  <c r="F40" i="3"/>
  <c r="I40" i="3" s="1"/>
  <c r="F44" i="3"/>
  <c r="I44" i="3" s="1"/>
  <c r="F48" i="3"/>
  <c r="I48" i="3" s="1"/>
  <c r="F52" i="3"/>
  <c r="I52" i="3" s="1"/>
  <c r="F56" i="3"/>
  <c r="I56" i="3" s="1"/>
  <c r="F41" i="3"/>
  <c r="I41" i="3" s="1"/>
  <c r="F45" i="3"/>
  <c r="I45" i="3" s="1"/>
  <c r="F49" i="3"/>
  <c r="I49" i="3" s="1"/>
  <c r="F53" i="3"/>
  <c r="I53" i="3" s="1"/>
  <c r="F37" i="3"/>
  <c r="I37" i="3" s="1"/>
  <c r="F42" i="3"/>
  <c r="I42" i="3" s="1"/>
  <c r="F50" i="3"/>
  <c r="I50" i="3" s="1"/>
  <c r="F38" i="3"/>
  <c r="I38" i="3" s="1"/>
  <c r="F46" i="3"/>
  <c r="I46" i="3" s="1"/>
  <c r="F54" i="3"/>
  <c r="I54" i="3" s="1"/>
  <c r="H62" i="3"/>
  <c r="G62" i="3"/>
  <c r="I62" i="3" l="1"/>
  <c r="G63" i="3" s="1"/>
  <c r="C5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<sst xmlns="http://schemas.openxmlformats.org/spreadsheetml/2006/main" count="323" uniqueCount="265">
  <si>
    <t>LED Desk Lamp</t>
  </si>
  <si>
    <t>Noise-Canceling Headphones</t>
  </si>
  <si>
    <t>Picture Frame Collage</t>
  </si>
  <si>
    <t>Bluetooth Speaker System</t>
  </si>
  <si>
    <t>Adjustable Standing Desk</t>
  </si>
  <si>
    <t>Wireless Charging Pad</t>
  </si>
  <si>
    <t>Decorative Storage Baskets</t>
  </si>
  <si>
    <t>Memory Foam Lumbar Support Pillow</t>
  </si>
  <si>
    <t>Cord Organizer Box</t>
  </si>
  <si>
    <t>Home Office Desk Organizer</t>
  </si>
  <si>
    <t>Expandable Drawer Organizer</t>
  </si>
  <si>
    <t>Compact Desktop Organizer</t>
  </si>
  <si>
    <t>Adjustable Laptop Stand</t>
  </si>
  <si>
    <t>Floating Wall Shelves</t>
  </si>
  <si>
    <t>Statistical Analysis and Forecasting</t>
  </si>
  <si>
    <t>Product 1</t>
  </si>
  <si>
    <t>Product 2</t>
  </si>
  <si>
    <t>Week</t>
  </si>
  <si>
    <t>P1-Price</t>
  </si>
  <si>
    <t>P1-Sales</t>
  </si>
  <si>
    <t>P2-Price</t>
  </si>
  <si>
    <t>P2-Sales</t>
  </si>
  <si>
    <t>#4 Compare linear, exponential, and polynomial trend forecasts predicting Product 1 Sales based on the absolute difference between Product 1 and Product 2 prices.</t>
  </si>
  <si>
    <t>Forecast the next week's sales based on a new x-value input and the best fit forecast function.</t>
  </si>
  <si>
    <t>Determine best fit forecast function based on minimum mean absolute error.</t>
  </si>
  <si>
    <t>Descriptive Statistics Report</t>
  </si>
  <si>
    <t>P2-Price Analysis</t>
  </si>
  <si>
    <t>(from, to)</t>
  </si>
  <si>
    <t>Intervals</t>
  </si>
  <si>
    <t>Histogram Report</t>
  </si>
  <si>
    <t>PERCENTILE and PERCENTRANK</t>
  </si>
  <si>
    <t>What percentage of P1 prices are &lt;= P2 price mean?</t>
  </si>
  <si>
    <t>What percentage of P1 sales are &gt; P2 sales mean?</t>
  </si>
  <si>
    <t>#1 Create descriptive statistics reports for Product 2 Price and Product 2 Sales (hint: you can create both reports at once).</t>
  </si>
  <si>
    <t>#2 Answer the two percentile/percentrank questions comparing Product 1 Price and Product 1 Sales to Product 2 Mean Price and Product 2 Mean Sales.</t>
  </si>
  <si>
    <t>#3 Create a historgram report to analyze how often Product 2 Prices are in the given intervals. Make sure to generate a histogram chart with your results.</t>
  </si>
  <si>
    <t>Product 1 Trend Analysis: Price Differential (x) vs Sales (y)</t>
  </si>
  <si>
    <t>ABS(P1-P2 Price)</t>
  </si>
  <si>
    <t>Linear (TREND)</t>
  </si>
  <si>
    <t>Exponential (GROWTH)</t>
  </si>
  <si>
    <t>Polynomial (LINEST)</t>
  </si>
  <si>
    <t>ABS Error-Linear</t>
  </si>
  <si>
    <t>ABS Error-Exp</t>
  </si>
  <si>
    <t>ABS Error-Poly</t>
  </si>
  <si>
    <t>Linear</t>
  </si>
  <si>
    <t>Exponential</t>
  </si>
  <si>
    <t>Polynomial</t>
  </si>
  <si>
    <t>Avg Abs Error</t>
  </si>
  <si>
    <t>Min Avg Abs Error</t>
  </si>
  <si>
    <t>Best Trend</t>
  </si>
  <si>
    <t>a</t>
  </si>
  <si>
    <t>b</t>
  </si>
  <si>
    <t>c</t>
  </si>
  <si>
    <t>a*x^2 + b*x + c</t>
  </si>
  <si>
    <t>Best Forecast</t>
  </si>
  <si>
    <t>Linear Forecast</t>
  </si>
  <si>
    <t>Exponential Forecast</t>
  </si>
  <si>
    <t>Polynomial Forecast</t>
  </si>
  <si>
    <t>New Week</t>
  </si>
  <si>
    <t>Create a scatter chart and add all three trendlines with equations displayed on the chart.</t>
  </si>
  <si>
    <t>Event Catering</t>
  </si>
  <si>
    <t>Two-Way Data Table</t>
  </si>
  <si>
    <t>nGuests</t>
  </si>
  <si>
    <t>TotalCost</t>
  </si>
  <si>
    <t>Number of Guests and Percent Fish</t>
  </si>
  <si>
    <t>nTables</t>
  </si>
  <si>
    <t>number of tables =nGuests/6</t>
  </si>
  <si>
    <t>pFish</t>
  </si>
  <si>
    <t>pSteak</t>
  </si>
  <si>
    <t>percent steak =1-pFish</t>
  </si>
  <si>
    <t>cFish</t>
  </si>
  <si>
    <t>cost fish</t>
  </si>
  <si>
    <t>cSteak</t>
  </si>
  <si>
    <t>cost steak</t>
  </si>
  <si>
    <t>cTable</t>
  </si>
  <si>
    <t>cost per table</t>
  </si>
  <si>
    <t>total cost =cFish*pFish*nGuests + cSteak*pSteak*nGuests + cTable*nTables</t>
  </si>
  <si>
    <t>Simulation complete!</t>
  </si>
  <si>
    <t>REPORT</t>
  </si>
  <si>
    <t>Trial</t>
  </si>
  <si>
    <t>Total Cost</t>
  </si>
  <si>
    <t>TixPrice</t>
  </si>
  <si>
    <t>TixPrice Histogram</t>
  </si>
  <si>
    <t>Price Intervals</t>
  </si>
  <si>
    <t>#1 Generate a data table to evaluate possible values for number of guests and percent of fish orders. Report the Total Cost for each scenario.</t>
  </si>
  <si>
    <t>number of guests</t>
  </si>
  <si>
    <t>percent fish</t>
  </si>
  <si>
    <t>Min Price Scenario</t>
  </si>
  <si>
    <t>Max Price Scenario</t>
  </si>
  <si>
    <t>#2 Create a simulation application which generates random values for number of guests and percent fish orders and calculates total cost and ticket price.</t>
  </si>
  <si>
    <t>Ask the user for the number of trials to run (between 50 and 200). Ask for the mean and standard deviation for the Normal distribution of number of guests.</t>
  </si>
  <si>
    <t>Before starting the simulation, make sure to clear previous trial values, reset the "StatusBar" to "Simulation running…" and turn off screen updating.</t>
  </si>
  <si>
    <t>Inside your simulation loop, create an animation to update the "StatusBar" to report the percent simulation complete. You should update this status 10 times.</t>
  </si>
  <si>
    <t>When the simulation is complete, make sure to turn screen updating back on and change the "StatusBar" to "Simulation complete!".</t>
  </si>
  <si>
    <t>Generate a histogram report of the TixPrice values using the given Price Intervals. (You do not need to output a new chart each time.) Make sure to clear previous report first.</t>
  </si>
  <si>
    <t>Default values for input:</t>
  </si>
  <si>
    <t>Number of Trials = 100</t>
  </si>
  <si>
    <t>Number of Guests mean = 100</t>
  </si>
  <si>
    <t>Number of Guests stdev = 20</t>
  </si>
  <si>
    <t>Percentage of Fish and Steak</t>
  </si>
  <si>
    <t>To determine animation period:</t>
  </si>
  <si>
    <t>Animation Period = Round(Number of Trials/10, 0)</t>
  </si>
  <si>
    <t>If i Mod Animation Period = 0 Then</t>
  </si>
  <si>
    <t>Percentage complete = (i / Number of Trials) * 100</t>
  </si>
  <si>
    <t>Histogram</t>
  </si>
  <si>
    <t>Make sure you have checked Analysis Toolpack VBA under File &gt; Options &gt; AddIns</t>
  </si>
  <si>
    <t>Record macro to get code (do not need to check chart output)</t>
  </si>
  <si>
    <t>Ticket price =TotalCost*(1+profit margin) / nGuests</t>
  </si>
  <si>
    <t>Profit margin = 20%</t>
  </si>
  <si>
    <t>Inventory Optimization</t>
  </si>
  <si>
    <t>Data Tables and Simulation</t>
  </si>
  <si>
    <t>Investment Optimization</t>
  </si>
  <si>
    <t>Shipping Optimization</t>
  </si>
  <si>
    <t>Assignment Optimization</t>
  </si>
  <si>
    <t>Scheduling Optimization</t>
  </si>
  <si>
    <t>Ask for the profit margin (as a number) then record the profit margin as a percentage (divided by 100). Note the fixed values for cFish, cSteak, and cTable costs in the given table.</t>
  </si>
  <si>
    <t>Should be Double variables with random value between (0,1)</t>
  </si>
  <si>
    <t>Number of Guests and Tables</t>
  </si>
  <si>
    <t>Should be Integer variables</t>
  </si>
  <si>
    <t>Make sure to clear previous histogram report values</t>
  </si>
  <si>
    <t>For each trial, generate random values for nGuests and pFish, then calculate nTables, pSteak, TotalCost, and TixPrice.</t>
  </si>
  <si>
    <t>Output all trial values to the simulation table.</t>
  </si>
  <si>
    <t>SIMULATION HINTS</t>
  </si>
  <si>
    <t>Create a report for the min and max TixPrice scenarios and their corresponding row values for TotalCost and nGuests. (Hint: use Match function to find corresponding row)</t>
  </si>
  <si>
    <t>Product</t>
  </si>
  <si>
    <t>Current Inventory</t>
  </si>
  <si>
    <t>Expected Demand</t>
  </si>
  <si>
    <t>Order Quantity</t>
  </si>
  <si>
    <t>Updated Inventory</t>
  </si>
  <si>
    <t>Actual Sales</t>
  </si>
  <si>
    <t>Order Cost</t>
  </si>
  <si>
    <t>Sales Price</t>
  </si>
  <si>
    <t>Total Order</t>
  </si>
  <si>
    <t>Total Revenue</t>
  </si>
  <si>
    <t>Total Costs</t>
  </si>
  <si>
    <t>Available Funds</t>
  </si>
  <si>
    <t>Total Profit</t>
  </si>
  <si>
    <t>Lost Sales</t>
  </si>
  <si>
    <t>INVENTORY: Office Supplies at National Store</t>
  </si>
  <si>
    <t>Total Lost Sales</t>
  </si>
  <si>
    <t>Lost Sales Cost</t>
  </si>
  <si>
    <t>#1 Solve the Inventory optimization model: decide how much to order of each product in order to maximize profit.</t>
  </si>
  <si>
    <t>Complete the formulas for Updated Inventory and Actual Sales. Calculate Lost Sales = Expected Demand - Actual Sales.</t>
  </si>
  <si>
    <t>Complete the formulas for all costs, revenue, and profit.</t>
  </si>
  <si>
    <t>Set the starting order quantity decision variable values to 100 and solve the model.</t>
  </si>
  <si>
    <t>Enter the optimization references in the Solver model, such that total cost &lt;= available funds and order quantity is integer.</t>
  </si>
  <si>
    <t>Options</t>
  </si>
  <si>
    <t>Selected</t>
  </si>
  <si>
    <t>Allocation</t>
  </si>
  <si>
    <t>Investment</t>
  </si>
  <si>
    <t>Return Rate</t>
  </si>
  <si>
    <t>Risk Rate</t>
  </si>
  <si>
    <t>Total Selected</t>
  </si>
  <si>
    <t>Min Allocation</t>
  </si>
  <si>
    <t>Total Invested</t>
  </si>
  <si>
    <t>Min to Select</t>
  </si>
  <si>
    <t>Max Allocation</t>
  </si>
  <si>
    <t>Expected Returns</t>
  </si>
  <si>
    <t>Expected Risk</t>
  </si>
  <si>
    <t>Action</t>
  </si>
  <si>
    <t>Canon</t>
  </si>
  <si>
    <t>Children</t>
  </si>
  <si>
    <t>Digital</t>
  </si>
  <si>
    <t>Kodak</t>
  </si>
  <si>
    <t>Night</t>
  </si>
  <si>
    <t>Nikon</t>
  </si>
  <si>
    <t>Other</t>
  </si>
  <si>
    <t>Professional</t>
  </si>
  <si>
    <t>Sony</t>
  </si>
  <si>
    <t>Waterproof</t>
  </si>
  <si>
    <t>Total Shipped</t>
  </si>
  <si>
    <t>Total To City</t>
  </si>
  <si>
    <t>Total Demand</t>
  </si>
  <si>
    <t>Total From WH</t>
  </si>
  <si>
    <t>Available Supply</t>
  </si>
  <si>
    <t>Capitol Hill</t>
  </si>
  <si>
    <t>Downtown</t>
  </si>
  <si>
    <t>West End</t>
  </si>
  <si>
    <t>Georgetown</t>
  </si>
  <si>
    <t>Brightwood Park</t>
  </si>
  <si>
    <t>Kalorama Heights</t>
  </si>
  <si>
    <t>Union Station</t>
  </si>
  <si>
    <t>Dupont Circle</t>
  </si>
  <si>
    <t>Shipping Cost</t>
  </si>
  <si>
    <t>WH1</t>
  </si>
  <si>
    <t>WH2</t>
  </si>
  <si>
    <t>WH3</t>
  </si>
  <si>
    <t>#1 Solve the Shipping optimization model: decide how much to ship in order to minimize costs.</t>
  </si>
  <si>
    <t>Complete the formulas for Total To City, Total From WH, and Total Cost.</t>
  </si>
  <si>
    <t>Set up the Solver model to check all constraints.</t>
  </si>
  <si>
    <t>#2 Write a procedure to allow a user to dynamically solve the Shipping model with supply input values.</t>
  </si>
  <si>
    <t>SHIPPING from warehouses to store locations</t>
  </si>
  <si>
    <t>Ask the user for the supply value for each warehouse. Enter these values in the "Available Supply" range.</t>
  </si>
  <si>
    <t>Run the Solver model (make sure to add VBA &gt; Tools &gt; References &gt; Solver.XLAM).</t>
  </si>
  <si>
    <t>Check if a solution could be found. If no solution, clear the decision variable cells and tell the user.</t>
  </si>
  <si>
    <t>If solution found, tell the user the minimum cost result.</t>
  </si>
  <si>
    <t>City</t>
  </si>
  <si>
    <t>Delivered</t>
  </si>
  <si>
    <t>Demand</t>
  </si>
  <si>
    <t>Total Load</t>
  </si>
  <si>
    <t>Number Stops</t>
  </si>
  <si>
    <t>Capacity</t>
  </si>
  <si>
    <t>Cost per Stop</t>
  </si>
  <si>
    <t>Time per Stop</t>
  </si>
  <si>
    <t>Total Assign Cost</t>
  </si>
  <si>
    <t>Total Assign Time</t>
  </si>
  <si>
    <t>Toll Truck</t>
  </si>
  <si>
    <t>City Truck</t>
  </si>
  <si>
    <t>Mini Truck</t>
  </si>
  <si>
    <t>#1 Solve the Assignment optimization model: decide which trucks to use in order to minimize either costs or time.</t>
  </si>
  <si>
    <t>Complete the formulas for Delivered, Total Load, Number of Stops, Total Assign Cost, and Total Assign Time.</t>
  </si>
  <si>
    <t>#2 Write a procedure to allow a user to dynamically solve the Assignment model with the desired objective function.</t>
  </si>
  <si>
    <t>Ask the user if they want to minimize cost or time. Update the Solver objective function using VBA.</t>
  </si>
  <si>
    <t>If solution found, tell the user the minimum objective cell result.</t>
  </si>
  <si>
    <t>Total Pay Cost</t>
  </si>
  <si>
    <t>Assignment of trucks to city delivery destinations</t>
  </si>
  <si>
    <t>Staff1</t>
  </si>
  <si>
    <t>Staff2</t>
  </si>
  <si>
    <t>Staff3</t>
  </si>
  <si>
    <t>Staff Assigned</t>
  </si>
  <si>
    <t>Staff Needed</t>
  </si>
  <si>
    <t>Avail1</t>
  </si>
  <si>
    <t>Avail2</t>
  </si>
  <si>
    <t>Avail3</t>
  </si>
  <si>
    <t>Shifts per Staff</t>
  </si>
  <si>
    <t>Max Shifts</t>
  </si>
  <si>
    <t>Thursday-Dinner</t>
  </si>
  <si>
    <t>Friday-Brunch</t>
  </si>
  <si>
    <t>Friday-Dinner</t>
  </si>
  <si>
    <t>Saturday-Brunch</t>
  </si>
  <si>
    <t>Saturday-Dinner</t>
  </si>
  <si>
    <t>Sunday-Brunch</t>
  </si>
  <si>
    <t>Sunday-Dinner</t>
  </si>
  <si>
    <t>Pay per Shift</t>
  </si>
  <si>
    <t>#1 Solve the Scheduling optimization model: decide which staff should work which shifts in order to minimize costs.</t>
  </si>
  <si>
    <t>Complete the formulas for Staff Assigned, Shifts per Staff, and Total Pay Cost.</t>
  </si>
  <si>
    <t>#2 Write a procedure to allow a user to dynamically solve the Scheduling model based on staff availability.</t>
  </si>
  <si>
    <t>Create a conditional formatting rule to highlight the table rows where staff assigned &lt; staff needed (you can do this in Excel without VBA).</t>
  </si>
  <si>
    <t>Shifts</t>
  </si>
  <si>
    <t>Scheduling staff to shifts based on availability</t>
  </si>
  <si>
    <t>Clear current decision variable range values.</t>
  </si>
  <si>
    <t>INVESTMENT in product options with expected rates</t>
  </si>
  <si>
    <t>#1 Solve the Investment optimization model: decide how much to order of each product in order to maximize expected returns.</t>
  </si>
  <si>
    <t>Complete the formulas for Investment, Total Selected, Total Invested, Expected Returns, and Expected Risk.</t>
  </si>
  <si>
    <t>Enter the optimization references in the Solver model to check all constraints.</t>
  </si>
  <si>
    <t>Set the starting  decision variable values at their maximum value and solve the model.</t>
  </si>
  <si>
    <t>If no solution, tell the user whih shifts do not have enough staff (Hint: loop through the table rows to update a string variable with shift names; userMsg = userMsg &amp; "…").</t>
  </si>
  <si>
    <t>New Price Difference</t>
  </si>
  <si>
    <t xml:space="preserve">Run the Solver model (make sure to add VBA &gt; Tools &gt; References &gt; Solver.XLAM). Check if a solution could be found.  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</si>
  <si>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</si>
  <si>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</si>
  <si>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</si>
  <si>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</si>
  <si>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</si>
  <si>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</si>
  <si>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</si>
  <si>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</si>
  <si>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</si>
  <si>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</si>
  <si>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</si>
  <si>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</si>
  <si>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</si>
  <si>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More</t>
  </si>
  <si>
    <t>Frequency</t>
  </si>
  <si>
    <t>Polynomial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</si>
</sst>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000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9" fontId="8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5" fillId="3" borderId="6" xfId="0" applyFont="1" applyFill="1" applyBorder="1"/>
    <xf numFmtId="0" fontId="0" fillId="3" borderId="7" xfId="0" applyFill="1" applyBorder="1"/>
    <xf numFmtId="0" fontId="0" fillId="3" borderId="7" xfId="0" applyFill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6" fillId="2" borderId="8" xfId="0" applyFont="1" applyFill="1" applyBorder="1"/>
    <xf numFmtId="0" fontId="2" fillId="2" borderId="0" xfId="0" applyFont="1" applyFill="1"/>
    <xf numFmtId="0" fontId="6" fillId="2" borderId="9" xfId="0" applyFont="1" applyFill="1" applyBorder="1"/>
    <xf numFmtId="0" fontId="6" fillId="3" borderId="6" xfId="0" applyFont="1" applyFill="1" applyBorder="1"/>
    <xf numFmtId="0" fontId="0" fillId="2" borderId="0" xfId="0" applyFill="1"/>
    <xf numFmtId="0" fontId="0" fillId="4" borderId="0" xfId="0" applyFill="1"/>
    <xf numFmtId="164" fontId="0" fillId="0" borderId="0" xfId="0" applyNumberFormat="1"/>
    <xf numFmtId="0" fontId="9" fillId="5" borderId="1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164" fontId="9" fillId="8" borderId="1" xfId="0" applyNumberFormat="1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5" fillId="3" borderId="8" xfId="0" applyFont="1" applyFill="1" applyBorder="1"/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/>
    </xf>
    <xf numFmtId="0" fontId="6" fillId="2" borderId="0" xfId="0" applyFont="1" applyFill="1"/>
    <xf numFmtId="0" fontId="6" fillId="2" borderId="2" xfId="0" applyFont="1" applyFill="1" applyBorder="1"/>
    <xf numFmtId="0" fontId="11" fillId="9" borderId="0" xfId="0" applyFont="1" applyFill="1"/>
    <xf numFmtId="0" fontId="11" fillId="9" borderId="0" xfId="0" applyFont="1" applyFill="1" applyAlignment="1">
      <alignment horizontal="right"/>
    </xf>
    <xf numFmtId="0" fontId="9" fillId="0" borderId="0" xfId="0" applyFont="1"/>
    <xf numFmtId="0" fontId="2" fillId="0" borderId="10" xfId="0" applyFont="1" applyBorder="1" applyAlignment="1">
      <alignment horizontal="center"/>
    </xf>
    <xf numFmtId="0" fontId="11" fillId="10" borderId="10" xfId="0" applyFont="1" applyFill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0" xfId="0" applyNumberFormat="1" applyFont="1"/>
    <xf numFmtId="0" fontId="0" fillId="0" borderId="11" xfId="0" applyBorder="1"/>
    <xf numFmtId="0" fontId="9" fillId="0" borderId="0" xfId="0" applyFont="1" applyAlignment="1">
      <alignment horizontal="right"/>
    </xf>
    <xf numFmtId="10" fontId="9" fillId="0" borderId="1" xfId="0" applyNumberFormat="1" applyFont="1" applyBorder="1" applyAlignment="1">
      <alignment horizontal="center"/>
    </xf>
    <xf numFmtId="0" fontId="10" fillId="0" borderId="0" xfId="0" applyFont="1"/>
    <xf numFmtId="0" fontId="10" fillId="11" borderId="1" xfId="0" applyFont="1" applyFill="1" applyBorder="1"/>
    <xf numFmtId="0" fontId="10" fillId="9" borderId="1" xfId="0" applyFont="1" applyFill="1" applyBorder="1"/>
    <xf numFmtId="0" fontId="9" fillId="0" borderId="1" xfId="0" applyFont="1" applyBorder="1"/>
    <xf numFmtId="0" fontId="10" fillId="11" borderId="3" xfId="0" applyFont="1" applyFill="1" applyBorder="1" applyAlignment="1">
      <alignment horizontal="center"/>
    </xf>
    <xf numFmtId="0" fontId="10" fillId="11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65" fontId="9" fillId="0" borderId="1" xfId="0" applyNumberFormat="1" applyFont="1" applyBorder="1"/>
    <xf numFmtId="165" fontId="9" fillId="0" borderId="0" xfId="0" applyNumberFormat="1" applyFont="1"/>
    <xf numFmtId="165" fontId="1" fillId="6" borderId="13" xfId="0" applyNumberFormat="1" applyFon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0" fontId="9" fillId="0" borderId="0" xfId="0" applyFont="1" applyAlignment="1">
      <alignment horizontal="center"/>
    </xf>
    <xf numFmtId="1" fontId="9" fillId="13" borderId="1" xfId="0" applyNumberFormat="1" applyFont="1" applyFill="1" applyBorder="1" applyAlignment="1">
      <alignment horizontal="center"/>
    </xf>
    <xf numFmtId="0" fontId="7" fillId="0" borderId="0" xfId="0" applyFont="1"/>
    <xf numFmtId="0" fontId="11" fillId="6" borderId="1" xfId="0" applyFont="1" applyFill="1" applyBorder="1" applyAlignment="1">
      <alignment horizontal="center"/>
    </xf>
    <xf numFmtId="0" fontId="10" fillId="6" borderId="1" xfId="0" applyFont="1" applyFill="1" applyBorder="1" applyAlignment="1">
      <alignment horizontal="left"/>
    </xf>
    <xf numFmtId="1" fontId="9" fillId="8" borderId="1" xfId="0" applyNumberFormat="1" applyFont="1" applyFill="1" applyBorder="1" applyAlignment="1">
      <alignment horizontal="center"/>
    </xf>
    <xf numFmtId="164" fontId="10" fillId="14" borderId="1" xfId="0" applyNumberFormat="1" applyFont="1" applyFill="1" applyBorder="1" applyAlignment="1">
      <alignment horizontal="center"/>
    </xf>
    <xf numFmtId="10" fontId="9" fillId="15" borderId="1" xfId="0" applyNumberFormat="1" applyFont="1" applyFill="1" applyBorder="1" applyAlignment="1">
      <alignment horizontal="center"/>
    </xf>
    <xf numFmtId="10" fontId="7" fillId="15" borderId="1" xfId="0" applyNumberFormat="1" applyFont="1" applyFill="1" applyBorder="1" applyAlignment="1">
      <alignment horizontal="center"/>
    </xf>
    <xf numFmtId="164" fontId="9" fillId="14" borderId="1" xfId="0" applyNumberFormat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164" fontId="9" fillId="9" borderId="1" xfId="0" applyNumberFormat="1" applyFont="1" applyFill="1" applyBorder="1" applyAlignment="1">
      <alignment horizontal="center"/>
    </xf>
    <xf numFmtId="164" fontId="9" fillId="12" borderId="1" xfId="0" applyNumberFormat="1" applyFont="1" applyFill="1" applyBorder="1" applyAlignment="1">
      <alignment horizontal="center"/>
    </xf>
    <xf numFmtId="1" fontId="9" fillId="12" borderId="1" xfId="0" applyNumberFormat="1" applyFont="1" applyFill="1" applyBorder="1" applyAlignment="1">
      <alignment horizontal="center"/>
    </xf>
    <xf numFmtId="0" fontId="10" fillId="6" borderId="1" xfId="0" applyFont="1" applyFill="1" applyBorder="1" applyAlignment="1">
      <alignment horizontal="center" wrapText="1"/>
    </xf>
    <xf numFmtId="0" fontId="13" fillId="2" borderId="0" xfId="0" applyFont="1" applyFill="1"/>
    <xf numFmtId="0" fontId="14" fillId="2" borderId="0" xfId="0" applyFont="1" applyFill="1"/>
    <xf numFmtId="0" fontId="15" fillId="9" borderId="0" xfId="0" applyFont="1" applyFill="1"/>
    <xf numFmtId="0" fontId="0" fillId="1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0" fontId="1" fillId="6" borderId="1" xfId="0" applyFont="1" applyFill="1" applyBorder="1"/>
    <xf numFmtId="164" fontId="0" fillId="0" borderId="1" xfId="0" applyNumberFormat="1" applyBorder="1" applyAlignment="1">
      <alignment horizontal="center"/>
    </xf>
    <xf numFmtId="164" fontId="0" fillId="11" borderId="1" xfId="0" applyNumberFormat="1" applyFill="1" applyBorder="1" applyAlignment="1">
      <alignment horizontal="center"/>
    </xf>
    <xf numFmtId="0" fontId="6" fillId="3" borderId="6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3" borderId="8" xfId="0" applyFont="1" applyFill="1" applyBorder="1" applyAlignment="1">
      <alignment horizontal="left"/>
    </xf>
    <xf numFmtId="0" fontId="6" fillId="2" borderId="8" xfId="0" applyFont="1" applyFill="1" applyBorder="1" applyAlignment="1">
      <alignment horizontal="left"/>
    </xf>
    <xf numFmtId="0" fontId="15" fillId="9" borderId="14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3" fontId="0" fillId="0" borderId="0" xfId="0" applyNumberFormat="1"/>
    <xf numFmtId="164" fontId="0" fillId="12" borderId="1" xfId="0" applyNumberFormat="1" applyFill="1" applyBorder="1" applyAlignment="1">
      <alignment horizontal="center"/>
    </xf>
    <xf numFmtId="9" fontId="0" fillId="8" borderId="1" xfId="2" applyFont="1" applyFill="1" applyBorder="1" applyAlignment="1">
      <alignment horizontal="center"/>
    </xf>
    <xf numFmtId="10" fontId="0" fillId="8" borderId="1" xfId="2" applyNumberFormat="1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1" fillId="9" borderId="15" xfId="0" applyFont="1" applyFill="1" applyBorder="1"/>
    <xf numFmtId="0" fontId="1" fillId="9" borderId="2" xfId="0" applyFont="1" applyFill="1" applyBorder="1"/>
    <xf numFmtId="0" fontId="1" fillId="6" borderId="1" xfId="0" applyFont="1" applyFill="1" applyBorder="1" applyAlignment="1">
      <alignment horizontal="right"/>
    </xf>
    <xf numFmtId="0" fontId="1" fillId="9" borderId="15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2" fontId="0" fillId="11" borderId="1" xfId="0" applyNumberForma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9" fillId="12" borderId="1" xfId="0" applyFont="1" applyFill="1" applyBorder="1"/>
    <xf numFmtId="0" fontId="9" fillId="12" borderId="12" xfId="0" applyFont="1" applyFill="1" applyBorder="1"/>
    <xf numFmtId="0" fontId="7" fillId="12" borderId="1" xfId="0" applyFont="1" applyFill="1" applyBorder="1" applyAlignment="1">
      <alignment horizontal="center"/>
    </xf>
    <xf numFmtId="0" fontId="10" fillId="17" borderId="1" xfId="0" applyFont="1" applyFill="1" applyBorder="1" applyAlignment="1">
      <alignment horizontal="left"/>
    </xf>
    <xf numFmtId="0" fontId="0" fillId="17" borderId="0" xfId="0" applyFill="1"/>
    <xf numFmtId="0" fontId="10" fillId="5" borderId="3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/>
    </xf>
    <xf numFmtId="0" fontId="12" fillId="5" borderId="5" xfId="0" applyFont="1" applyFill="1" applyBorder="1" applyAlignment="1">
      <alignment horizontal="center"/>
    </xf>
    <xf numFmtId="0" fontId="10" fillId="6" borderId="8" xfId="0" applyFont="1" applyFill="1" applyBorder="1" applyAlignment="1">
      <alignment horizontal="center"/>
    </xf>
    <xf numFmtId="0" fontId="10" fillId="6" borderId="0" xfId="0" applyFont="1" applyFill="1" applyAlignment="1">
      <alignment horizontal="center"/>
    </xf>
    <xf numFmtId="0" fontId="10" fillId="5" borderId="3" xfId="0" applyFont="1" applyFill="1" applyBorder="1" applyAlignment="1">
      <alignment horizontal="left"/>
    </xf>
    <xf numFmtId="0" fontId="10" fillId="5" borderId="5" xfId="0" applyFont="1" applyFill="1" applyBorder="1" applyAlignment="1">
      <alignment horizontal="left"/>
    </xf>
    <xf numFmtId="0" fontId="10" fillId="5" borderId="4" xfId="0" applyFont="1" applyFill="1" applyBorder="1" applyAlignment="1">
      <alignment horizontal="left"/>
    </xf>
    <xf numFmtId="0" fontId="11" fillId="6" borderId="3" xfId="0" applyFont="1" applyFill="1" applyBorder="1" applyAlignment="1">
      <alignment horizontal="left"/>
    </xf>
    <xf numFmtId="0" fontId="11" fillId="6" borderId="5" xfId="0" applyFont="1" applyFill="1" applyBorder="1" applyAlignment="1">
      <alignment horizontal="left"/>
    </xf>
    <xf numFmtId="0" fontId="11" fillId="6" borderId="4" xfId="0" applyFont="1" applyFill="1" applyBorder="1" applyAlignment="1">
      <alignment horizontal="left"/>
    </xf>
  </cellXfs>
  <cellStyles count="3">
    <cellStyle name="Normal" xfId="0" builtinId="0"/>
    <cellStyle name="Normal 2" xfId="1" xr:uid="{38492EC5-EC62-4432-BC19-A2F4FC7A968E}"/>
    <cellStyle name="Percent" xfId="2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'L13'!$O$13:$O$18</c:f>
              <c:strCache>
                <c:ptCount val="6"/>
                <c:pt idx="0">
                  <c:v>7</c:v>
                </c:pt>
                <c:pt idx="1">
                  <c:v>7.5</c:v>
                </c:pt>
                <c:pt idx="2">
                  <c:v>8</c:v>
                </c:pt>
                <c:pt idx="3">
                  <c:v>8.5</c:v>
                </c:pt>
                <c:pt idx="4">
                  <c:v>9</c:v>
                </c:pt>
                <c:pt idx="5">
                  <c:v>More</c:v>
                </c:pt>
              </c:strCache>
            </c:strRef>
          </c:cat>
          <c:val>
            <c:numRef>
              <c:f>'L13'!$P$13:$P$18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0E-4DBC-BC99-EF33F7364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6059423"/>
        <c:axId val="303938095"/>
      </c:barChart>
      <c:catAx>
        <c:axId val="566059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3938095"/>
        <c:crosses val="autoZero"/>
        <c:auto val="1"/>
        <c:lblAlgn val="ctr"/>
        <c:lblOffset val="100"/>
        <c:noMultiLvlLbl val="0"/>
      </c:catAx>
      <c:valAx>
        <c:axId val="3039380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60594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'L13'!$C$36</c:f>
              <c:strCache>
                <c:ptCount val="1"/>
                <c:pt idx="0">
                  <c:v>P1-Sales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244468503937008"/>
                  <c:y val="7.47524788568095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2054608486439195"/>
                  <c:y val="0.236923301254009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1755314960629921"/>
                  <c:y val="-6.52314814814814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'L13'!$B$37:$B$56</c:f>
              <c:numCache>
                <c:formatCode>"$"#,##0.00</c:formatCode>
                <c:ptCount val="20"/>
                <c:pt idx="0">
                  <c:v>1.08</c:v>
                </c:pt>
                <c:pt idx="1">
                  <c:v>0.73999999999999932</c:v>
                </c:pt>
                <c:pt idx="2">
                  <c:v>1.33</c:v>
                </c:pt>
                <c:pt idx="3">
                  <c:v>2.9300000000000006</c:v>
                </c:pt>
                <c:pt idx="4">
                  <c:v>2.63</c:v>
                </c:pt>
                <c:pt idx="5">
                  <c:v>1.6099999999999994</c:v>
                </c:pt>
                <c:pt idx="6">
                  <c:v>0.15000000000000036</c:v>
                </c:pt>
                <c:pt idx="7">
                  <c:v>0.4399999999999995</c:v>
                </c:pt>
                <c:pt idx="8">
                  <c:v>0.10000000000000053</c:v>
                </c:pt>
                <c:pt idx="9">
                  <c:v>2.66</c:v>
                </c:pt>
                <c:pt idx="10">
                  <c:v>0.9300000000000006</c:v>
                </c:pt>
                <c:pt idx="11">
                  <c:v>2.42</c:v>
                </c:pt>
                <c:pt idx="12">
                  <c:v>1.88</c:v>
                </c:pt>
                <c:pt idx="13">
                  <c:v>0.1800000000000006</c:v>
                </c:pt>
                <c:pt idx="14">
                  <c:v>3.33</c:v>
                </c:pt>
                <c:pt idx="15">
                  <c:v>2.7699999999999996</c:v>
                </c:pt>
                <c:pt idx="16">
                  <c:v>2.95</c:v>
                </c:pt>
                <c:pt idx="17">
                  <c:v>1.3200000000000003</c:v>
                </c:pt>
                <c:pt idx="18">
                  <c:v>0.82000000000000028</c:v>
                </c:pt>
                <c:pt idx="19">
                  <c:v>0.15000000000000036</c:v>
                </c:pt>
              </c:numCache>
            </c:numRef>
          </c:xVal>
          <c:yVal>
            <c:numRef>
              <c:f>'L13'!$C$37:$C$56</c:f>
              <c:numCache>
                <c:formatCode>General</c:formatCode>
                <c:ptCount val="20"/>
                <c:pt idx="0">
                  <c:v>18</c:v>
                </c:pt>
                <c:pt idx="1">
                  <c:v>11</c:v>
                </c:pt>
                <c:pt idx="2">
                  <c:v>10</c:v>
                </c:pt>
                <c:pt idx="3">
                  <c:v>30</c:v>
                </c:pt>
                <c:pt idx="4">
                  <c:v>19</c:v>
                </c:pt>
                <c:pt idx="5">
                  <c:v>25</c:v>
                </c:pt>
                <c:pt idx="6">
                  <c:v>15</c:v>
                </c:pt>
                <c:pt idx="7">
                  <c:v>14</c:v>
                </c:pt>
                <c:pt idx="8">
                  <c:v>19</c:v>
                </c:pt>
                <c:pt idx="9">
                  <c:v>31</c:v>
                </c:pt>
                <c:pt idx="10">
                  <c:v>27</c:v>
                </c:pt>
                <c:pt idx="11">
                  <c:v>17</c:v>
                </c:pt>
                <c:pt idx="12">
                  <c:v>28</c:v>
                </c:pt>
                <c:pt idx="13">
                  <c:v>17</c:v>
                </c:pt>
                <c:pt idx="14">
                  <c:v>33</c:v>
                </c:pt>
                <c:pt idx="15">
                  <c:v>28</c:v>
                </c:pt>
                <c:pt idx="16">
                  <c:v>32</c:v>
                </c:pt>
                <c:pt idx="17">
                  <c:v>23</c:v>
                </c:pt>
                <c:pt idx="18">
                  <c:v>15</c:v>
                </c:pt>
                <c:pt idx="19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12-4B9D-8402-061CDCD45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141151"/>
        <c:axId val="852155071"/>
      </c:scatterChart>
      <c:valAx>
        <c:axId val="852141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155071"/>
        <c:crosses val="autoZero"/>
        <c:crossBetween val="midCat"/>
      </c:valAx>
      <c:valAx>
        <c:axId val="85215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141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1403058313363"/>
          <c:y val="0.18135793967006994"/>
          <c:w val="0.85961143444026022"/>
          <c:h val="0.5408199199805043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'L14'!$K$38:$K$59</c:f>
              <c:strCache>
                <c:ptCount val="22"/>
                <c:pt idx="0">
                  <c:v>12</c:v>
                </c:pt>
                <c:pt idx="1">
                  <c:v>12.25</c:v>
                </c:pt>
                <c:pt idx="2">
                  <c:v>12.5</c:v>
                </c:pt>
                <c:pt idx="3">
                  <c:v>12.75</c:v>
                </c:pt>
                <c:pt idx="4">
                  <c:v>13</c:v>
                </c:pt>
                <c:pt idx="5">
                  <c:v>13.25</c:v>
                </c:pt>
                <c:pt idx="6">
                  <c:v>13.5</c:v>
                </c:pt>
                <c:pt idx="7">
                  <c:v>13.75</c:v>
                </c:pt>
                <c:pt idx="8">
                  <c:v>14</c:v>
                </c:pt>
                <c:pt idx="9">
                  <c:v>14.25</c:v>
                </c:pt>
                <c:pt idx="10">
                  <c:v>14.5</c:v>
                </c:pt>
                <c:pt idx="11">
                  <c:v>14.75</c:v>
                </c:pt>
                <c:pt idx="12">
                  <c:v>15</c:v>
                </c:pt>
                <c:pt idx="13">
                  <c:v>15.25</c:v>
                </c:pt>
                <c:pt idx="14">
                  <c:v>15.5</c:v>
                </c:pt>
                <c:pt idx="15">
                  <c:v>15.75</c:v>
                </c:pt>
                <c:pt idx="16">
                  <c:v>16</c:v>
                </c:pt>
                <c:pt idx="17">
                  <c:v>16.25</c:v>
                </c:pt>
                <c:pt idx="18">
                  <c:v>16.5</c:v>
                </c:pt>
                <c:pt idx="19">
                  <c:v>16.75</c:v>
                </c:pt>
                <c:pt idx="20">
                  <c:v>17</c:v>
                </c:pt>
                <c:pt idx="21">
                  <c:v>More</c:v>
                </c:pt>
              </c:strCache>
            </c:strRef>
          </c:cat>
          <c:val>
            <c:numRef>
              <c:f>'L14'!$L$38:$L$59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21</c:v>
                </c:pt>
                <c:pt idx="4">
                  <c:v>44</c:v>
                </c:pt>
                <c:pt idx="5">
                  <c:v>35</c:v>
                </c:pt>
                <c:pt idx="6">
                  <c:v>54</c:v>
                </c:pt>
                <c:pt idx="7">
                  <c:v>35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0-45A2-9470-3ADDF120F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412416"/>
        <c:axId val="598409280"/>
      </c:barChart>
      <c:catAx>
        <c:axId val="598412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 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8409280"/>
        <c:crosses val="autoZero"/>
        <c:auto val="1"/>
        <c:lblAlgn val="ctr"/>
        <c:lblOffset val="100"/>
        <c:noMultiLvlLbl val="0"/>
      </c:catAx>
      <c:valAx>
        <c:axId val="598409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8412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391318</xdr:colOff>
      <xdr:row>18</xdr:row>
      <xdr:rowOff>30163</xdr:rowOff>
    </xdr:from>
    <xdr:to>
      <xdr:col>15</xdr:col>
      <xdr:colOff>19843</xdr:colOff>
      <xdr:row>27</xdr:row>
      <xdr:rowOff>181373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860156-2ECC-1E42-2B5B-8569C1449C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401835</xdr:colOff>
      <xdr:row>37</xdr:row>
      <xdr:rowOff>59532</xdr:rowOff>
    </xdr:from>
    <xdr:to>
      <xdr:col>15</xdr:col>
      <xdr:colOff>191492</xdr:colOff>
      <xdr:row>51</xdr:row>
      <xdr:rowOff>163513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BA3000-1578-E46D-C49A-098794C045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252413</xdr:colOff>
      <xdr:row>26</xdr:row>
      <xdr:rowOff>9525</xdr:rowOff>
    </xdr:from>
    <xdr:to>
      <xdr:col>6</xdr:col>
      <xdr:colOff>571501</xdr:colOff>
      <xdr:row>28</xdr:row>
      <xdr:rowOff>85725</xdr:rowOff>
    </xdr:to>
    <xdr:sp macro="[0]!runsim" textlink="">
      <xdr:nvSpPr>
        <xdr:cNvPr id="2" name="Rectangle 1">
          <a:extLst>
            <a:ext uri="{FF2B5EF4-FFF2-40B4-BE49-F238E27FC236}">
              <a16:creationId xmlns:a16="http://schemas.microsoft.com/office/drawing/2014/main" id="{C4AB0873-AD1F-B368-4843-FF79B0296199}"/>
            </a:ext>
          </a:extLst>
        </xdr:cNvPr>
        <xdr:cNvSpPr/>
      </xdr:nvSpPr>
      <xdr:spPr>
        <a:xfrm>
          <a:off x="2843213" y="5029200"/>
          <a:ext cx="1614488" cy="43815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Run Simulation</a:t>
          </a:r>
        </a:p>
      </xdr:txBody>
    </xdr:sp>
    <xdr:clientData/>
  </xdr:twoCellAnchor>
  <xdr:twoCellAnchor>
    <xdr:from>
      <xdr:col>14</xdr:col>
      <xdr:colOff>203199</xdr:colOff>
      <xdr:row>47</xdr:row>
      <xdr:rowOff>146050</xdr:rowOff>
    </xdr:from>
    <xdr:to>
      <xdr:col>18</xdr:col>
      <xdr:colOff>1562099</xdr:colOff>
      <xdr:row>63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BDF62C3-2931-484D-99C7-CC60C449A3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10</xdr:row>
      <xdr:rowOff>171450</xdr:rowOff>
    </xdr:from>
    <xdr:to>
      <xdr:col>1</xdr:col>
      <xdr:colOff>471487</xdr:colOff>
      <xdr:row>13</xdr:row>
      <xdr:rowOff>75786</xdr:rowOff>
    </xdr:to>
    <xdr:sp macro="[0]!shipping" textlink="">
      <xdr:nvSpPr>
        <xdr:cNvPr id="2" name="Rectangle 1">
          <a:extLst>
            <a:ext uri="{FF2B5EF4-FFF2-40B4-BE49-F238E27FC236}">
              <a16:creationId xmlns:a16="http://schemas.microsoft.com/office/drawing/2014/main" id="{A824E095-7184-4B0D-BDC3-69BEFCD99A7C}"/>
            </a:ext>
          </a:extLst>
        </xdr:cNvPr>
        <xdr:cNvSpPr/>
      </xdr:nvSpPr>
      <xdr:spPr>
        <a:xfrm>
          <a:off x="104775" y="3238500"/>
          <a:ext cx="1524000" cy="447261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Shipping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119063</xdr:colOff>
      <xdr:row>11</xdr:row>
      <xdr:rowOff>14288</xdr:rowOff>
    </xdr:from>
    <xdr:to>
      <xdr:col>1</xdr:col>
      <xdr:colOff>495300</xdr:colOff>
      <xdr:row>13</xdr:row>
      <xdr:rowOff>99599</xdr:rowOff>
    </xdr:to>
    <xdr:sp macro="[0]!assigment" textlink="">
      <xdr:nvSpPr>
        <xdr:cNvPr id="2" name="Rectangle 1">
          <a:extLst>
            <a:ext uri="{FF2B5EF4-FFF2-40B4-BE49-F238E27FC236}">
              <a16:creationId xmlns:a16="http://schemas.microsoft.com/office/drawing/2014/main" id="{4241B465-D648-40ED-9AC5-30147AB1074F}"/>
            </a:ext>
          </a:extLst>
        </xdr:cNvPr>
        <xdr:cNvSpPr/>
      </xdr:nvSpPr>
      <xdr:spPr>
        <a:xfrm>
          <a:off x="119063" y="2205038"/>
          <a:ext cx="1524000" cy="447261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Assignment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637761</xdr:colOff>
      <xdr:row>22</xdr:row>
      <xdr:rowOff>53837</xdr:rowOff>
    </xdr:from>
    <xdr:to>
      <xdr:col>7</xdr:col>
      <xdr:colOff>14288</xdr:colOff>
      <xdr:row>24</xdr:row>
      <xdr:rowOff>136663</xdr:rowOff>
    </xdr:to>
    <xdr:sp macro="[0]!scheduling" textlink="">
      <xdr:nvSpPr>
        <xdr:cNvPr id="2" name="Rectangle 1">
          <a:extLst>
            <a:ext uri="{FF2B5EF4-FFF2-40B4-BE49-F238E27FC236}">
              <a16:creationId xmlns:a16="http://schemas.microsoft.com/office/drawing/2014/main" id="{96060445-26CC-437D-9198-7D0D4FF31B8A}"/>
            </a:ext>
          </a:extLst>
        </xdr:cNvPr>
        <xdr:cNvSpPr/>
      </xdr:nvSpPr>
      <xdr:spPr>
        <a:xfrm>
          <a:off x="3600036" y="4597262"/>
          <a:ext cx="1710152" cy="444776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Scheduling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0FA7E-2E8D-4559-8F00-A5F556419294}">
  <sheetPr codeName="Sheet4"/>
  <dimension ref="A1:P3402"/>
  <sheetViews>
    <sheetView tabSelected="1" zoomScale="60" zoomScaleNormal="60" workbookViewId="0">
      <selection sqref="A1:A8"/>
    </sheetView>
  </sheetViews>
  <sheetFormatPr defaultColWidth="4.28515625" defaultRowHeight="15" x14ac:dyDescent="0.25"/>
  <cols>
    <col min="1" max="1" width="11" customWidth="1"/>
    <col min="2" max="2" width="19.28515625" customWidth="1"/>
    <col min="3" max="3" width="25.42578125" customWidth="1"/>
    <col min="4" max="4" width="24.28515625" customWidth="1"/>
    <col min="5" max="5" width="23.5703125" customWidth="1"/>
    <col min="6" max="6" width="24.5703125" customWidth="1"/>
    <col min="7" max="7" width="24.7109375" bestFit="1" customWidth="1"/>
    <col min="8" max="8" width="16.28515625" customWidth="1"/>
    <col min="9" max="9" width="16.42578125" style="1" bestFit="1" customWidth="1"/>
    <col min="10" max="10" width="12.28515625" bestFit="1" customWidth="1"/>
    <col min="11" max="11" width="13" customWidth="1"/>
    <col min="12" max="12" width="16.28515625" bestFit="1" customWidth="1"/>
    <col min="13" max="13" width="9.7109375" bestFit="1" customWidth="1"/>
    <col min="15" max="15" width="16.28515625" bestFit="1" customWidth="1"/>
    <col min="16" max="16" width="9.7109375" bestFit="1" customWidth="1"/>
  </cols>
  <sheetData>
    <row r="1" spans="1:16" ht="15.75" x14ac:dyDescent="0.25">
      <c r="A1" s="10" t="s">
        <v>14</v>
      </c>
      <c r="B1" s="4"/>
      <c r="C1" s="4"/>
      <c r="D1" s="5"/>
      <c r="E1" s="6"/>
      <c r="F1" s="6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.75" x14ac:dyDescent="0.25">
      <c r="A2" s="3" t="s">
        <v>33</v>
      </c>
      <c r="B2" s="4"/>
      <c r="C2" s="4"/>
      <c r="D2" s="5"/>
      <c r="E2" s="6"/>
      <c r="F2" s="6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15.75" x14ac:dyDescent="0.25">
      <c r="A3" s="19" t="s">
        <v>34</v>
      </c>
      <c r="B3" s="20"/>
      <c r="C3" s="20"/>
      <c r="D3" s="21"/>
      <c r="E3" s="22"/>
      <c r="F3" s="22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ht="15.75" x14ac:dyDescent="0.25">
      <c r="A4" s="19" t="s">
        <v>35</v>
      </c>
      <c r="B4" s="20"/>
      <c r="C4" s="20"/>
      <c r="D4" s="21"/>
      <c r="E4" s="22"/>
      <c r="F4" s="22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ht="15.75" x14ac:dyDescent="0.25">
      <c r="A5" s="19" t="s">
        <v>22</v>
      </c>
      <c r="B5" s="20"/>
      <c r="C5" s="20"/>
      <c r="D5" s="21"/>
      <c r="E5" s="22"/>
      <c r="F5" s="22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ht="15.75" x14ac:dyDescent="0.25">
      <c r="A6" s="7" t="s">
        <v>59</v>
      </c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5.75" x14ac:dyDescent="0.25">
      <c r="A7" s="7" t="s">
        <v>24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ht="15.75" x14ac:dyDescent="0.25">
      <c r="A8" s="9" t="s">
        <v>23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x14ac:dyDescent="0.25">
      <c r="G9" s="1"/>
      <c r="I9"/>
      <c r="J9" s="13"/>
    </row>
    <row r="10" spans="1:16" x14ac:dyDescent="0.25">
      <c r="G10" s="1"/>
      <c r="I10"/>
    </row>
    <row r="11" spans="1:16" ht="15.75" thickBot="1" x14ac:dyDescent="0.3">
      <c r="A11" s="14"/>
      <c r="B11" s="97" t="s">
        <v>15</v>
      </c>
      <c r="C11" s="98"/>
      <c r="D11" s="97" t="s">
        <v>16</v>
      </c>
      <c r="E11" s="98"/>
      <c r="G11" s="25" t="s">
        <v>25</v>
      </c>
      <c r="H11" s="26"/>
      <c r="I11" s="26"/>
      <c r="J11" s="26"/>
      <c r="K11" s="27"/>
      <c r="L11" s="25" t="s">
        <v>26</v>
      </c>
      <c r="M11" s="26"/>
      <c r="O11" s="25" t="s">
        <v>29</v>
      </c>
      <c r="P11" s="26"/>
    </row>
    <row r="12" spans="1:16" x14ac:dyDescent="0.25">
      <c r="A12" s="15" t="s">
        <v>17</v>
      </c>
      <c r="B12" s="15" t="s">
        <v>18</v>
      </c>
      <c r="C12" s="15" t="s">
        <v>19</v>
      </c>
      <c r="D12" s="15" t="s">
        <v>20</v>
      </c>
      <c r="E12" s="15" t="s">
        <v>21</v>
      </c>
      <c r="G12" s="28" t="s">
        <v>20</v>
      </c>
      <c r="H12" s="28"/>
      <c r="I12" s="28" t="s">
        <v>21</v>
      </c>
      <c r="J12" s="28"/>
      <c r="K12" s="27"/>
      <c r="L12" s="29" t="s">
        <v>27</v>
      </c>
      <c r="M12" s="29" t="s">
        <v>28</v>
      </c>
      <c r="O12" s="28" t="s">
        <v>28</v>
      </c>
      <c r="P12" s="28" t="s">
        <v>263</v>
      </c>
    </row>
    <row r="13" spans="1:16" x14ac:dyDescent="0.25">
      <c r="A13" s="16">
        <v>1</v>
      </c>
      <c r="B13" s="17">
        <v>6.72</v>
      </c>
      <c r="C13" s="18">
        <v>18</v>
      </c>
      <c r="D13" s="17">
        <v>7.8</v>
      </c>
      <c r="E13" s="18">
        <v>3</v>
      </c>
      <c r="I13"/>
      <c r="K13" s="27"/>
      <c r="L13" s="30">
        <v>6.5</v>
      </c>
      <c r="M13" s="30">
        <v>7</v>
      </c>
      <c r="O13">
        <v>7</v>
      </c>
      <c r="P13">
        <v>5</v>
      </c>
    </row>
    <row r="14" spans="1:16" x14ac:dyDescent="0.25">
      <c r="A14" s="16">
        <v>2</v>
      </c>
      <c r="B14" s="17">
        <v>7.95</v>
      </c>
      <c r="C14" s="18">
        <v>11</v>
      </c>
      <c r="D14" s="17">
        <v>8.69</v>
      </c>
      <c r="E14" s="18">
        <v>6</v>
      </c>
      <c r="G14" t="s">
        <v>249</v>
      </c>
      <c r="H14">
        <v>7.7970000000000015</v>
      </c>
      <c r="I14" t="s">
        <v>249</v>
      </c>
      <c r="J14">
        <v>17.25</v>
      </c>
      <c r="K14" s="27"/>
      <c r="L14" s="30">
        <v>7.01</v>
      </c>
      <c r="M14" s="30">
        <v>7.5</v>
      </c>
      <c r="O14">
        <v>7.5</v>
      </c>
      <c r="P14">
        <v>2</v>
      </c>
    </row>
    <row r="15" spans="1:16" x14ac:dyDescent="0.25">
      <c r="A15" s="16">
        <v>3</v>
      </c>
      <c r="B15" s="17">
        <v>7.99</v>
      </c>
      <c r="C15" s="18">
        <v>10</v>
      </c>
      <c r="D15" s="17">
        <v>6.66</v>
      </c>
      <c r="E15" s="18">
        <v>37</v>
      </c>
      <c r="G15" t="s">
        <v>250</v>
      </c>
      <c r="H15">
        <v>0.18175909446586616</v>
      </c>
      <c r="I15" t="s">
        <v>250</v>
      </c>
      <c r="J15">
        <v>2.4972353134068714</v>
      </c>
      <c r="K15" s="27"/>
      <c r="L15" s="30">
        <v>7.5</v>
      </c>
      <c r="M15" s="30">
        <v>8</v>
      </c>
      <c r="O15">
        <v>8</v>
      </c>
      <c r="P15">
        <v>6</v>
      </c>
    </row>
    <row r="16" spans="1:16" x14ac:dyDescent="0.25">
      <c r="A16" s="16">
        <v>4</v>
      </c>
      <c r="B16" s="17">
        <v>5.31</v>
      </c>
      <c r="C16" s="18">
        <v>30</v>
      </c>
      <c r="D16" s="17">
        <v>8.24</v>
      </c>
      <c r="E16" s="18">
        <v>12</v>
      </c>
      <c r="G16" t="s">
        <v>251</v>
      </c>
      <c r="H16">
        <v>7.84</v>
      </c>
      <c r="I16" t="s">
        <v>251</v>
      </c>
      <c r="J16">
        <v>14.5</v>
      </c>
      <c r="K16" s="27"/>
      <c r="L16" s="30">
        <v>8.01</v>
      </c>
      <c r="M16" s="30">
        <v>8.5</v>
      </c>
      <c r="O16">
        <v>8.5</v>
      </c>
      <c r="P16">
        <v>4</v>
      </c>
    </row>
    <row r="17" spans="1:16" x14ac:dyDescent="0.25">
      <c r="A17" s="16">
        <v>5</v>
      </c>
      <c r="B17" s="17">
        <v>6.69</v>
      </c>
      <c r="C17" s="18">
        <v>19</v>
      </c>
      <c r="D17" s="17">
        <v>9.32</v>
      </c>
      <c r="E17" s="18">
        <v>4</v>
      </c>
      <c r="G17" t="s">
        <v>252</v>
      </c>
      <c r="H17" t="e">
        <v>#N/A</v>
      </c>
      <c r="I17" t="s">
        <v>252</v>
      </c>
      <c r="J17">
        <v>6</v>
      </c>
      <c r="K17" s="27"/>
      <c r="L17" s="30">
        <v>8.51</v>
      </c>
      <c r="M17" s="30">
        <v>9</v>
      </c>
      <c r="O17">
        <v>9</v>
      </c>
      <c r="P17">
        <v>1</v>
      </c>
    </row>
    <row r="18" spans="1:16" ht="15.75" thickBot="1" x14ac:dyDescent="0.3">
      <c r="A18" s="16">
        <v>6</v>
      </c>
      <c r="B18" s="17">
        <v>6.41</v>
      </c>
      <c r="C18" s="18">
        <v>25</v>
      </c>
      <c r="D18" s="17">
        <v>8.02</v>
      </c>
      <c r="E18" s="18">
        <v>9</v>
      </c>
      <c r="G18" t="s">
        <v>253</v>
      </c>
      <c r="H18">
        <v>0.81285138150896519</v>
      </c>
      <c r="I18" t="s">
        <v>253</v>
      </c>
      <c r="J18">
        <v>11.167975833181513</v>
      </c>
      <c r="K18" s="27"/>
      <c r="L18" s="31"/>
      <c r="M18" s="31"/>
      <c r="O18" s="32" t="s">
        <v>262</v>
      </c>
      <c r="P18" s="32">
        <v>2</v>
      </c>
    </row>
    <row r="19" spans="1:16" x14ac:dyDescent="0.25">
      <c r="A19" s="16">
        <v>7</v>
      </c>
      <c r="B19" s="17">
        <v>7.12</v>
      </c>
      <c r="C19" s="18">
        <v>15</v>
      </c>
      <c r="D19" s="17">
        <v>6.97</v>
      </c>
      <c r="E19" s="18">
        <v>27</v>
      </c>
      <c r="G19" t="s">
        <v>254</v>
      </c>
      <c r="H19">
        <v>0.6607273684210333</v>
      </c>
      <c r="I19" t="s">
        <v>254</v>
      </c>
      <c r="J19">
        <v>124.72368421052632</v>
      </c>
      <c r="K19" s="27"/>
    </row>
    <row r="20" spans="1:16" x14ac:dyDescent="0.25">
      <c r="A20" s="16">
        <v>8</v>
      </c>
      <c r="B20" s="17">
        <v>7.26</v>
      </c>
      <c r="C20" s="18">
        <v>14</v>
      </c>
      <c r="D20" s="17">
        <v>6.82</v>
      </c>
      <c r="E20" s="18">
        <v>31</v>
      </c>
      <c r="G20" t="s">
        <v>255</v>
      </c>
      <c r="H20">
        <v>-0.37865555005605378</v>
      </c>
      <c r="I20" t="s">
        <v>255</v>
      </c>
      <c r="J20">
        <v>-1.1605391772377334</v>
      </c>
      <c r="K20" s="27"/>
    </row>
    <row r="21" spans="1:16" x14ac:dyDescent="0.25">
      <c r="A21" s="16">
        <v>9</v>
      </c>
      <c r="B21" s="17">
        <v>6.59</v>
      </c>
      <c r="C21" s="18">
        <v>19</v>
      </c>
      <c r="D21" s="17">
        <v>6.69</v>
      </c>
      <c r="E21" s="18">
        <v>35</v>
      </c>
      <c r="G21" t="s">
        <v>256</v>
      </c>
      <c r="H21">
        <v>0.4045375400421371</v>
      </c>
      <c r="I21" t="s">
        <v>256</v>
      </c>
      <c r="J21">
        <v>0.47371759436018201</v>
      </c>
      <c r="K21" s="27"/>
    </row>
    <row r="22" spans="1:16" x14ac:dyDescent="0.25">
      <c r="A22" s="16">
        <v>10</v>
      </c>
      <c r="B22" s="17">
        <v>5.16</v>
      </c>
      <c r="C22" s="18">
        <v>31</v>
      </c>
      <c r="D22" s="17">
        <v>7.82</v>
      </c>
      <c r="E22" s="18">
        <v>21</v>
      </c>
      <c r="G22" t="s">
        <v>257</v>
      </c>
      <c r="H22">
        <v>2.7799999999999994</v>
      </c>
      <c r="I22" t="s">
        <v>257</v>
      </c>
      <c r="J22">
        <v>34</v>
      </c>
      <c r="K22" s="27"/>
    </row>
    <row r="23" spans="1:16" x14ac:dyDescent="0.25">
      <c r="A23" s="16">
        <v>11</v>
      </c>
      <c r="B23" s="17">
        <v>6.01</v>
      </c>
      <c r="C23" s="18">
        <v>27</v>
      </c>
      <c r="D23" s="17">
        <v>6.94</v>
      </c>
      <c r="E23" s="18">
        <v>34</v>
      </c>
      <c r="G23" t="s">
        <v>258</v>
      </c>
      <c r="H23">
        <v>6.66</v>
      </c>
      <c r="I23" t="s">
        <v>258</v>
      </c>
      <c r="J23">
        <v>3</v>
      </c>
      <c r="K23" s="27"/>
    </row>
    <row r="24" spans="1:16" x14ac:dyDescent="0.25">
      <c r="A24" s="16">
        <v>12</v>
      </c>
      <c r="B24" s="17">
        <v>7.02</v>
      </c>
      <c r="C24" s="18">
        <v>17</v>
      </c>
      <c r="D24" s="17">
        <v>9.44</v>
      </c>
      <c r="E24" s="18">
        <v>7</v>
      </c>
      <c r="G24" t="s">
        <v>259</v>
      </c>
      <c r="H24">
        <v>9.44</v>
      </c>
      <c r="I24" t="s">
        <v>259</v>
      </c>
      <c r="J24">
        <v>37</v>
      </c>
      <c r="K24" s="27"/>
    </row>
    <row r="25" spans="1:16" x14ac:dyDescent="0.25">
      <c r="A25" s="16">
        <v>13</v>
      </c>
      <c r="B25" s="17">
        <v>5.45</v>
      </c>
      <c r="C25" s="18">
        <v>28</v>
      </c>
      <c r="D25" s="17">
        <v>7.33</v>
      </c>
      <c r="E25" s="18">
        <v>26</v>
      </c>
      <c r="G25" t="s">
        <v>260</v>
      </c>
      <c r="H25">
        <v>155.94000000000003</v>
      </c>
      <c r="I25" t="s">
        <v>260</v>
      </c>
      <c r="J25">
        <v>345</v>
      </c>
      <c r="K25" s="27"/>
    </row>
    <row r="26" spans="1:16" ht="15.75" thickBot="1" x14ac:dyDescent="0.3">
      <c r="A26" s="16">
        <v>14</v>
      </c>
      <c r="B26" s="17">
        <v>6.85</v>
      </c>
      <c r="C26" s="18">
        <v>17</v>
      </c>
      <c r="D26" s="17">
        <v>7.03</v>
      </c>
      <c r="E26" s="18">
        <v>22</v>
      </c>
      <c r="G26" s="32" t="s">
        <v>261</v>
      </c>
      <c r="H26" s="32">
        <v>20</v>
      </c>
      <c r="I26" s="32" t="s">
        <v>261</v>
      </c>
      <c r="J26" s="32">
        <v>20</v>
      </c>
      <c r="K26" s="27"/>
    </row>
    <row r="27" spans="1:16" x14ac:dyDescent="0.25">
      <c r="A27" s="16">
        <v>15</v>
      </c>
      <c r="B27" s="17">
        <v>5.01</v>
      </c>
      <c r="C27" s="18">
        <v>33</v>
      </c>
      <c r="D27" s="17">
        <v>8.34</v>
      </c>
      <c r="E27" s="18">
        <v>10</v>
      </c>
      <c r="G27" s="27"/>
      <c r="H27" s="27"/>
      <c r="I27" s="27"/>
      <c r="J27" s="27"/>
      <c r="K27" s="27"/>
      <c r="L27" s="27"/>
      <c r="M27" s="27"/>
    </row>
    <row r="28" spans="1:16" x14ac:dyDescent="0.25">
      <c r="A28" s="16">
        <v>16</v>
      </c>
      <c r="B28" s="17">
        <v>5.68</v>
      </c>
      <c r="C28" s="18">
        <v>28</v>
      </c>
      <c r="D28" s="17">
        <v>8.4499999999999993</v>
      </c>
      <c r="E28" s="18">
        <v>8</v>
      </c>
      <c r="G28" s="27"/>
      <c r="H28" s="27"/>
      <c r="I28" s="27"/>
      <c r="J28" s="27"/>
      <c r="K28" s="27"/>
      <c r="L28" s="27"/>
      <c r="M28" s="27"/>
    </row>
    <row r="29" spans="1:16" x14ac:dyDescent="0.25">
      <c r="A29" s="16">
        <v>17</v>
      </c>
      <c r="B29" s="17">
        <v>5.05</v>
      </c>
      <c r="C29" s="18">
        <v>32</v>
      </c>
      <c r="D29" s="17">
        <v>8</v>
      </c>
      <c r="E29" s="18">
        <v>14</v>
      </c>
      <c r="G29" s="25"/>
      <c r="H29" s="26" t="s">
        <v>30</v>
      </c>
      <c r="I29" s="25"/>
      <c r="J29" s="27"/>
      <c r="K29" s="27"/>
      <c r="L29" s="27"/>
      <c r="M29" s="27"/>
    </row>
    <row r="30" spans="1:16" x14ac:dyDescent="0.25">
      <c r="A30" s="16">
        <v>18</v>
      </c>
      <c r="B30" s="17">
        <v>6.54</v>
      </c>
      <c r="C30" s="18">
        <v>23</v>
      </c>
      <c r="D30" s="17">
        <v>7.86</v>
      </c>
      <c r="E30" s="18">
        <v>18</v>
      </c>
      <c r="G30" s="27"/>
      <c r="H30" s="33" t="s">
        <v>31</v>
      </c>
      <c r="I30" s="34">
        <f>_xlfn.PERCENTRANK.INC(B13:B32,7.797)</f>
        <v>0.92900000000000005</v>
      </c>
      <c r="J30" s="27"/>
      <c r="K30" s="27"/>
      <c r="L30" s="27"/>
      <c r="M30" s="27"/>
    </row>
    <row r="31" spans="1:16" x14ac:dyDescent="0.25">
      <c r="A31" s="16">
        <v>19</v>
      </c>
      <c r="B31" s="17">
        <v>7.05</v>
      </c>
      <c r="C31" s="18">
        <v>15</v>
      </c>
      <c r="D31" s="17">
        <v>7.87</v>
      </c>
      <c r="E31" s="18">
        <v>15</v>
      </c>
      <c r="G31" s="27"/>
      <c r="H31" s="33" t="s">
        <v>32</v>
      </c>
      <c r="I31" s="34">
        <f>1-_xlfn.PERCENTRANK.INC(C13:C32,17.25)</f>
        <v>0.61899999999999999</v>
      </c>
      <c r="J31" s="27"/>
      <c r="K31" s="27"/>
      <c r="L31" s="27"/>
      <c r="M31" s="27"/>
    </row>
    <row r="32" spans="1:16" x14ac:dyDescent="0.25">
      <c r="A32" s="16">
        <v>20</v>
      </c>
      <c r="B32" s="17">
        <v>7.5</v>
      </c>
      <c r="C32" s="18">
        <v>12</v>
      </c>
      <c r="D32" s="17">
        <v>7.65</v>
      </c>
      <c r="E32" s="18">
        <v>6</v>
      </c>
      <c r="G32" s="1"/>
      <c r="I32"/>
    </row>
    <row r="33" spans="1:9" x14ac:dyDescent="0.25">
      <c r="G33" s="1"/>
      <c r="I33"/>
    </row>
    <row r="34" spans="1:9" x14ac:dyDescent="0.25">
      <c r="G34" s="1"/>
      <c r="I34"/>
    </row>
    <row r="35" spans="1:9" x14ac:dyDescent="0.25">
      <c r="A35" s="35" t="s">
        <v>36</v>
      </c>
      <c r="B35" s="27"/>
      <c r="C35" s="27"/>
      <c r="D35" s="27"/>
      <c r="E35" s="27"/>
      <c r="F35" s="27"/>
      <c r="G35" s="27"/>
      <c r="H35" s="27"/>
      <c r="I35" s="27"/>
    </row>
    <row r="36" spans="1:9" x14ac:dyDescent="0.25">
      <c r="A36" s="15" t="s">
        <v>17</v>
      </c>
      <c r="B36" s="15" t="s">
        <v>37</v>
      </c>
      <c r="C36" s="15" t="s">
        <v>19</v>
      </c>
      <c r="D36" s="36" t="s">
        <v>38</v>
      </c>
      <c r="E36" s="36" t="s">
        <v>39</v>
      </c>
      <c r="F36" s="36" t="s">
        <v>40</v>
      </c>
      <c r="G36" s="37" t="s">
        <v>41</v>
      </c>
      <c r="H36" s="37" t="s">
        <v>42</v>
      </c>
      <c r="I36" s="37" t="s">
        <v>43</v>
      </c>
    </row>
    <row r="37" spans="1:9" x14ac:dyDescent="0.25">
      <c r="A37" s="16">
        <v>1</v>
      </c>
      <c r="B37" s="17">
        <f>ABS(B13-D13)</f>
        <v>1.08</v>
      </c>
      <c r="C37" s="18">
        <v>18</v>
      </c>
      <c r="D37" s="38" cm="1">
        <f t="array" ref="D37">TREND(C$37:C$56,B$37:B$56,B37)</f>
        <v>18.973160235059023</v>
      </c>
      <c r="E37" s="38" cm="1">
        <f t="array" ref="E37">GROWTH(C$37:C$56,B$37:B$56,B37)</f>
        <v>17.905260472336433</v>
      </c>
      <c r="F37" s="45">
        <f>$G$67*(B37)^2+$H$67*B37+$I$67</f>
        <v>18.006294970717647</v>
      </c>
      <c r="G37" s="38">
        <f>ABS(C37-D37)</f>
        <v>0.97316023505902294</v>
      </c>
      <c r="H37" s="38">
        <f>ABS(C37-E37)</f>
        <v>9.4739527663566747E-2</v>
      </c>
      <c r="I37" s="38">
        <f>ABS(F37-C37)</f>
        <v>6.2949707176471748E-3</v>
      </c>
    </row>
    <row r="38" spans="1:9" x14ac:dyDescent="0.25">
      <c r="A38" s="16">
        <v>2</v>
      </c>
      <c r="B38" s="17">
        <f t="shared" ref="B38:B56" si="0">ABS(B14-D14)</f>
        <v>0.73999999999999932</v>
      </c>
      <c r="C38" s="18">
        <v>11</v>
      </c>
      <c r="D38" s="38" cm="1">
        <f t="array" ref="D38">TREND(C$37:C$56,B$37:B$56,B38)</f>
        <v>17.25632232104557</v>
      </c>
      <c r="E38" s="38" cm="1">
        <f t="array" ref="E38">GROWTH(C$37:C$56,B$37:B$56,B38)</f>
        <v>16.515212787721559</v>
      </c>
      <c r="F38" s="45">
        <f t="shared" ref="F38:F56" si="1">$G$67*(B38)^2+$H$67*B38+$I$67</f>
        <v>16.829305975175291</v>
      </c>
      <c r="G38" s="38">
        <f>ABS(C38-D38)</f>
        <v>6.2563223210455696</v>
      </c>
      <c r="H38" s="38">
        <f t="shared" ref="H38:H56" si="2">ABS(C38-E38)</f>
        <v>5.5152127877215591</v>
      </c>
      <c r="I38" s="38">
        <f>ABS(F38-C38)</f>
        <v>5.8293059751752914</v>
      </c>
    </row>
    <row r="39" spans="1:9" x14ac:dyDescent="0.25">
      <c r="A39" s="16">
        <v>3</v>
      </c>
      <c r="B39" s="17">
        <f t="shared" si="0"/>
        <v>1.33</v>
      </c>
      <c r="C39" s="18">
        <v>10</v>
      </c>
      <c r="D39" s="38" cm="1">
        <f t="array" ref="D39">TREND(C$37:C$56,B$37:B$56,B39)</f>
        <v>20.235541054186562</v>
      </c>
      <c r="E39" s="38" cm="1">
        <f t="array" ref="E39">GROWTH(C$37:C$56,B$37:B$56,B39)</f>
        <v>19.001455581054163</v>
      </c>
      <c r="F39" s="45">
        <f t="shared" si="1"/>
        <v>19.037381595138626</v>
      </c>
      <c r="G39" s="38">
        <f>ABS(C39-D39)</f>
        <v>10.235541054186562</v>
      </c>
      <c r="H39" s="38">
        <f t="shared" si="2"/>
        <v>9.001455581054163</v>
      </c>
      <c r="I39" s="38">
        <f>ABS(F39-C39)</f>
        <v>9.0373815951386263</v>
      </c>
    </row>
    <row r="40" spans="1:9" x14ac:dyDescent="0.25">
      <c r="A40" s="16">
        <v>4</v>
      </c>
      <c r="B40" s="17">
        <f t="shared" si="0"/>
        <v>2.9300000000000006</v>
      </c>
      <c r="C40" s="18">
        <v>30</v>
      </c>
      <c r="D40" s="38" cm="1">
        <f t="array" ref="D40">TREND(C$37:C$56,B$37:B$56,B40)</f>
        <v>28.314778296602807</v>
      </c>
      <c r="E40" s="38" cm="1">
        <f t="array" ref="E40">GROWTH(C$37:C$56,B$37:B$56,B40)</f>
        <v>27.793723156357444</v>
      </c>
      <c r="F40" s="45">
        <f t="shared" si="1"/>
        <v>28.960637529138413</v>
      </c>
      <c r="G40" s="38">
        <f>ABS(C40-D40)</f>
        <v>1.6852217033971932</v>
      </c>
      <c r="H40" s="38">
        <f t="shared" si="2"/>
        <v>2.2062768436425557</v>
      </c>
      <c r="I40" s="38">
        <f t="shared" ref="I40:I56" si="3">ABS(F40-C40)</f>
        <v>1.0393624708615867</v>
      </c>
    </row>
    <row r="41" spans="1:9" x14ac:dyDescent="0.25">
      <c r="A41" s="16">
        <v>5</v>
      </c>
      <c r="B41" s="17">
        <f t="shared" si="0"/>
        <v>2.63</v>
      </c>
      <c r="C41" s="18">
        <v>19</v>
      </c>
      <c r="D41" s="38" cm="1">
        <f t="array" ref="D41">TREND(C$37:C$56,B$37:B$56,B41)</f>
        <v>26.799921313649758</v>
      </c>
      <c r="E41" s="38" cm="1">
        <f t="array" ref="E41">GROWTH(C$37:C$56,B$37:B$56,B41)</f>
        <v>25.880892820645382</v>
      </c>
      <c r="F41" s="45">
        <f t="shared" si="1"/>
        <v>26.662027852423869</v>
      </c>
      <c r="G41" s="38">
        <f t="shared" ref="G41:G56" si="4">ABS(C41-D41)</f>
        <v>7.799921313649758</v>
      </c>
      <c r="H41" s="38">
        <f t="shared" si="2"/>
        <v>6.8808928206453821</v>
      </c>
      <c r="I41" s="38">
        <f t="shared" si="3"/>
        <v>7.6620278524238685</v>
      </c>
    </row>
    <row r="42" spans="1:9" x14ac:dyDescent="0.25">
      <c r="A42" s="16">
        <v>6</v>
      </c>
      <c r="B42" s="17">
        <f t="shared" si="0"/>
        <v>1.6099999999999994</v>
      </c>
      <c r="C42" s="18">
        <v>25</v>
      </c>
      <c r="D42" s="38" cm="1">
        <f t="array" ref="D42">TREND(C$37:C$56,B$37:B$56,B42)</f>
        <v>21.649407571609402</v>
      </c>
      <c r="E42" s="38" cm="1">
        <f t="array" ref="E42">GROWTH(C$37:C$56,B$37:B$56,B42)</f>
        <v>20.309061076518624</v>
      </c>
      <c r="F42" s="45">
        <f t="shared" si="1"/>
        <v>20.35886292131292</v>
      </c>
      <c r="G42" s="38">
        <f t="shared" si="4"/>
        <v>3.3505924283905983</v>
      </c>
      <c r="H42" s="38">
        <f t="shared" si="2"/>
        <v>4.6909389234813759</v>
      </c>
      <c r="I42" s="38">
        <f t="shared" si="3"/>
        <v>4.6411370786870805</v>
      </c>
    </row>
    <row r="43" spans="1:9" x14ac:dyDescent="0.25">
      <c r="A43" s="16">
        <v>7</v>
      </c>
      <c r="B43" s="17">
        <f t="shared" si="0"/>
        <v>0.15000000000000036</v>
      </c>
      <c r="C43" s="18">
        <v>15</v>
      </c>
      <c r="D43" s="38" cm="1">
        <f t="array" ref="D43">TREND(C$37:C$56,B$37:B$56,B43)</f>
        <v>14.277103587904584</v>
      </c>
      <c r="E43" s="38" cm="1">
        <f t="array" ref="E43">GROWTH(C$37:C$56,B$37:B$56,B43)</f>
        <v>14.354282084351254</v>
      </c>
      <c r="F43" s="45">
        <f t="shared" si="1"/>
        <v>15.403115061479051</v>
      </c>
      <c r="G43" s="38">
        <f t="shared" si="4"/>
        <v>0.722896412095416</v>
      </c>
      <c r="H43" s="38">
        <f t="shared" si="2"/>
        <v>0.64571791564874559</v>
      </c>
      <c r="I43" s="38">
        <f t="shared" si="3"/>
        <v>0.40311506147905085</v>
      </c>
    </row>
    <row r="44" spans="1:9" x14ac:dyDescent="0.25">
      <c r="A44" s="16">
        <v>8</v>
      </c>
      <c r="B44" s="17">
        <f t="shared" si="0"/>
        <v>0.4399999999999995</v>
      </c>
      <c r="C44" s="18">
        <v>14</v>
      </c>
      <c r="D44" s="38" cm="1">
        <f t="array" ref="D44">TREND(C$37:C$56,B$37:B$56,B44)</f>
        <v>15.741465338092524</v>
      </c>
      <c r="E44" s="38" cm="1">
        <f t="array" ref="E44">GROWTH(C$37:C$56,B$37:B$56,B44)</f>
        <v>15.378596442967208</v>
      </c>
      <c r="F44" s="45">
        <f t="shared" si="1"/>
        <v>16.006416643239486</v>
      </c>
      <c r="G44" s="38">
        <f t="shared" si="4"/>
        <v>1.7414653380925245</v>
      </c>
      <c r="H44" s="38">
        <f t="shared" si="2"/>
        <v>1.3785964429672077</v>
      </c>
      <c r="I44" s="38">
        <f t="shared" si="3"/>
        <v>2.0064166432394863</v>
      </c>
    </row>
    <row r="45" spans="1:9" x14ac:dyDescent="0.25">
      <c r="A45" s="16">
        <v>9</v>
      </c>
      <c r="B45" s="17">
        <f t="shared" si="0"/>
        <v>0.10000000000000053</v>
      </c>
      <c r="C45" s="18">
        <v>19</v>
      </c>
      <c r="D45" s="38" cm="1">
        <f t="array" ref="D45">TREND(C$37:C$56,B$37:B$56,B45)</f>
        <v>14.024627424079078</v>
      </c>
      <c r="E45" s="38" cm="1">
        <f t="array" ref="E45">GROWTH(C$37:C$56,B$37:B$56,B45)</f>
        <v>14.184702480285104</v>
      </c>
      <c r="F45" s="45">
        <f t="shared" si="1"/>
        <v>15.318189819727355</v>
      </c>
      <c r="G45" s="38">
        <f t="shared" si="4"/>
        <v>4.9753725759209217</v>
      </c>
      <c r="H45" s="38">
        <f t="shared" si="2"/>
        <v>4.8152975197148962</v>
      </c>
      <c r="I45" s="38">
        <f t="shared" si="3"/>
        <v>3.6818101802726453</v>
      </c>
    </row>
    <row r="46" spans="1:9" x14ac:dyDescent="0.25">
      <c r="A46" s="16">
        <v>10</v>
      </c>
      <c r="B46" s="17">
        <f t="shared" si="0"/>
        <v>2.66</v>
      </c>
      <c r="C46" s="18">
        <v>31</v>
      </c>
      <c r="D46" s="38" cm="1">
        <f t="array" ref="D46">TREND(C$37:C$56,B$37:B$56,B46)</f>
        <v>26.951407011945065</v>
      </c>
      <c r="E46" s="38" cm="1">
        <f t="array" ref="E46">GROWTH(C$37:C$56,B$37:B$56,B46)</f>
        <v>26.066096668620325</v>
      </c>
      <c r="F46" s="45">
        <f t="shared" si="1"/>
        <v>26.882791913860387</v>
      </c>
      <c r="G46" s="38">
        <f t="shared" si="4"/>
        <v>4.0485929880549349</v>
      </c>
      <c r="H46" s="38">
        <f t="shared" si="2"/>
        <v>4.9339033313796747</v>
      </c>
      <c r="I46" s="38">
        <f t="shared" si="3"/>
        <v>4.1172080861396125</v>
      </c>
    </row>
    <row r="47" spans="1:9" x14ac:dyDescent="0.25">
      <c r="A47" s="16">
        <v>11</v>
      </c>
      <c r="B47" s="17">
        <f t="shared" si="0"/>
        <v>0.9300000000000006</v>
      </c>
      <c r="C47" s="18">
        <v>27</v>
      </c>
      <c r="D47" s="38" cm="1">
        <f t="array" ref="D47">TREND(C$37:C$56,B$37:B$56,B47)</f>
        <v>18.215731743582502</v>
      </c>
      <c r="E47" s="38" cm="1">
        <f t="array" ref="E47">GROWTH(C$37:C$56,B$37:B$56,B47)</f>
        <v>17.27813673690029</v>
      </c>
      <c r="F47" s="45">
        <f t="shared" si="1"/>
        <v>17.455027486694227</v>
      </c>
      <c r="G47" s="38">
        <f t="shared" si="4"/>
        <v>8.7842682564174979</v>
      </c>
      <c r="H47" s="38">
        <f t="shared" si="2"/>
        <v>9.7218632630997099</v>
      </c>
      <c r="I47" s="38">
        <f t="shared" si="3"/>
        <v>9.5449725133057726</v>
      </c>
    </row>
    <row r="48" spans="1:9" x14ac:dyDescent="0.25">
      <c r="A48" s="16">
        <v>12</v>
      </c>
      <c r="B48" s="17">
        <f t="shared" si="0"/>
        <v>2.42</v>
      </c>
      <c r="C48" s="18">
        <v>17</v>
      </c>
      <c r="D48" s="38" cm="1">
        <f t="array" ref="D48">TREND(C$37:C$56,B$37:B$56,B48)</f>
        <v>25.739521425582623</v>
      </c>
      <c r="E48" s="38" cm="1">
        <f t="array" ref="E48">GROWTH(C$37:C$56,B$37:B$56,B48)</f>
        <v>24.620792220337023</v>
      </c>
      <c r="F48" s="45">
        <f t="shared" si="1"/>
        <v>25.173282394496752</v>
      </c>
      <c r="G48" s="38">
        <f t="shared" si="4"/>
        <v>8.7395214255826232</v>
      </c>
      <c r="H48" s="38">
        <f t="shared" si="2"/>
        <v>7.6207922203370231</v>
      </c>
      <c r="I48" s="38">
        <f t="shared" si="3"/>
        <v>8.1732823944967521</v>
      </c>
    </row>
    <row r="49" spans="1:9" x14ac:dyDescent="0.25">
      <c r="A49" s="16">
        <v>13</v>
      </c>
      <c r="B49" s="17">
        <f t="shared" si="0"/>
        <v>1.88</v>
      </c>
      <c r="C49" s="18">
        <v>28</v>
      </c>
      <c r="D49" s="38" cm="1">
        <f t="array" ref="D49">TREND(C$37:C$56,B$37:B$56,B49)</f>
        <v>23.012778856267143</v>
      </c>
      <c r="E49" s="38" cm="1">
        <f t="array" ref="E49">GROWTH(C$37:C$56,B$37:B$56,B49)</f>
        <v>21.65511884277802</v>
      </c>
      <c r="F49" s="45">
        <f t="shared" si="1"/>
        <v>21.799925100145327</v>
      </c>
      <c r="G49" s="38">
        <f t="shared" si="4"/>
        <v>4.9872211437328566</v>
      </c>
      <c r="H49" s="38">
        <f t="shared" si="2"/>
        <v>6.3448811572219803</v>
      </c>
      <c r="I49" s="38">
        <f t="shared" si="3"/>
        <v>6.2000748998546733</v>
      </c>
    </row>
    <row r="50" spans="1:9" x14ac:dyDescent="0.25">
      <c r="A50" s="16">
        <v>14</v>
      </c>
      <c r="B50" s="17">
        <f t="shared" si="0"/>
        <v>0.1800000000000006</v>
      </c>
      <c r="C50" s="18">
        <v>17</v>
      </c>
      <c r="D50" s="38" cm="1">
        <f t="array" ref="D50">TREND(C$37:C$56,B$37:B$56,B50)</f>
        <v>14.428589286199889</v>
      </c>
      <c r="E50" s="38" cm="1">
        <f t="array" ref="E50">GROWTH(C$37:C$56,B$37:B$56,B50)</f>
        <v>14.457001426197873</v>
      </c>
      <c r="F50" s="45">
        <f t="shared" si="1"/>
        <v>15.456765586155235</v>
      </c>
      <c r="G50" s="38">
        <f t="shared" si="4"/>
        <v>2.5714107138001108</v>
      </c>
      <c r="H50" s="38">
        <f t="shared" si="2"/>
        <v>2.5429985738021266</v>
      </c>
      <c r="I50" s="38">
        <f t="shared" si="3"/>
        <v>1.5432344138447647</v>
      </c>
    </row>
    <row r="51" spans="1:9" x14ac:dyDescent="0.25">
      <c r="A51" s="16">
        <v>15</v>
      </c>
      <c r="B51" s="17">
        <f t="shared" si="0"/>
        <v>3.33</v>
      </c>
      <c r="C51" s="18">
        <v>33</v>
      </c>
      <c r="D51" s="38" cm="1">
        <f t="array" ref="D51">TREND(C$37:C$56,B$37:B$56,B51)</f>
        <v>30.334587607206863</v>
      </c>
      <c r="E51" s="38" cm="1">
        <f t="array" ref="E51">GROWTH(C$37:C$56,B$37:B$56,B51)</f>
        <v>30.565865059960615</v>
      </c>
      <c r="F51" s="45">
        <f t="shared" si="1"/>
        <v>32.339911387693903</v>
      </c>
      <c r="G51" s="38">
        <f t="shared" si="4"/>
        <v>2.6654123927931366</v>
      </c>
      <c r="H51" s="38">
        <f t="shared" si="2"/>
        <v>2.4341349400393852</v>
      </c>
      <c r="I51" s="38">
        <f t="shared" si="3"/>
        <v>0.66008861230609739</v>
      </c>
    </row>
    <row r="52" spans="1:9" x14ac:dyDescent="0.25">
      <c r="A52" s="16">
        <v>16</v>
      </c>
      <c r="B52" s="17">
        <f t="shared" si="0"/>
        <v>2.7699999999999996</v>
      </c>
      <c r="C52" s="18">
        <v>28</v>
      </c>
      <c r="D52" s="38" cm="1">
        <f t="array" ref="D52">TREND(C$37:C$56,B$37:B$56,B52)</f>
        <v>27.506854572361178</v>
      </c>
      <c r="E52" s="38" cm="1">
        <f t="array" ref="E52">GROWTH(C$37:C$56,B$37:B$56,B52)</f>
        <v>26.756588634047226</v>
      </c>
      <c r="F52" s="45">
        <f t="shared" si="1"/>
        <v>27.70955549172243</v>
      </c>
      <c r="G52" s="38">
        <f t="shared" si="4"/>
        <v>0.4931454276388223</v>
      </c>
      <c r="H52" s="38">
        <f t="shared" si="2"/>
        <v>1.2434113659527739</v>
      </c>
      <c r="I52" s="38">
        <f t="shared" si="3"/>
        <v>0.29044450827757018</v>
      </c>
    </row>
    <row r="53" spans="1:9" x14ac:dyDescent="0.25">
      <c r="A53" s="16">
        <v>17</v>
      </c>
      <c r="B53" s="17">
        <f t="shared" si="0"/>
        <v>2.95</v>
      </c>
      <c r="C53" s="18">
        <v>32</v>
      </c>
      <c r="D53" s="38" cm="1">
        <f t="array" ref="D53">TREND(C$37:C$56,B$37:B$56,B53)</f>
        <v>28.415768762133006</v>
      </c>
      <c r="E53" s="38" cm="1">
        <f t="array" ref="E53">GROWTH(C$37:C$56,B$37:B$56,B53)</f>
        <v>27.926160232499075</v>
      </c>
      <c r="F53" s="45">
        <f t="shared" si="1"/>
        <v>29.121065853253157</v>
      </c>
      <c r="G53" s="38">
        <f t="shared" si="4"/>
        <v>3.5842312378669945</v>
      </c>
      <c r="H53" s="38">
        <f t="shared" si="2"/>
        <v>4.0738397675009246</v>
      </c>
      <c r="I53" s="38">
        <f t="shared" si="3"/>
        <v>2.8789341467468432</v>
      </c>
    </row>
    <row r="54" spans="1:9" x14ac:dyDescent="0.25">
      <c r="A54" s="16">
        <v>18</v>
      </c>
      <c r="B54" s="17">
        <f t="shared" si="0"/>
        <v>1.3200000000000003</v>
      </c>
      <c r="C54" s="18">
        <v>23</v>
      </c>
      <c r="D54" s="38" cm="1">
        <f t="array" ref="D54">TREND(C$37:C$56,B$37:B$56,B54)</f>
        <v>20.185045821421461</v>
      </c>
      <c r="E54" s="38" cm="1">
        <f t="array" ref="E54">GROWTH(C$37:C$56,B$37:B$56,B54)</f>
        <v>18.956345765479966</v>
      </c>
      <c r="F54" s="45">
        <f t="shared" si="1"/>
        <v>18.993442750536619</v>
      </c>
      <c r="G54" s="38">
        <f t="shared" si="4"/>
        <v>2.8149541785785388</v>
      </c>
      <c r="H54" s="38">
        <f t="shared" si="2"/>
        <v>4.0436542345200337</v>
      </c>
      <c r="I54" s="38">
        <f t="shared" si="3"/>
        <v>4.0065572494633805</v>
      </c>
    </row>
    <row r="55" spans="1:9" x14ac:dyDescent="0.25">
      <c r="A55" s="16">
        <v>19</v>
      </c>
      <c r="B55" s="17">
        <f t="shared" si="0"/>
        <v>0.82000000000000028</v>
      </c>
      <c r="C55" s="18">
        <v>15</v>
      </c>
      <c r="D55" s="38" cm="1">
        <f t="array" ref="D55">TREND(C$37:C$56,B$37:B$56,B55)</f>
        <v>17.660284183166386</v>
      </c>
      <c r="E55" s="38" cm="1">
        <f t="array" ref="E55">GROWTH(C$37:C$56,B$37:B$56,B55)</f>
        <v>16.83224975341556</v>
      </c>
      <c r="F55" s="45">
        <f t="shared" si="1"/>
        <v>17.082884605610285</v>
      </c>
      <c r="G55" s="38">
        <f t="shared" si="4"/>
        <v>2.6602841831663859</v>
      </c>
      <c r="H55" s="38">
        <f t="shared" si="2"/>
        <v>1.8322497534155602</v>
      </c>
      <c r="I55" s="38">
        <f t="shared" si="3"/>
        <v>2.0828846056102854</v>
      </c>
    </row>
    <row r="56" spans="1:9" x14ac:dyDescent="0.25">
      <c r="A56" s="16">
        <v>20</v>
      </c>
      <c r="B56" s="17">
        <f t="shared" si="0"/>
        <v>0.15000000000000036</v>
      </c>
      <c r="C56" s="18">
        <v>12</v>
      </c>
      <c r="D56" s="38" cm="1">
        <f t="array" ref="D56">TREND(C$37:C$56,B$37:B$56,B56)</f>
        <v>14.277103587904584</v>
      </c>
      <c r="E56" s="38" cm="1">
        <f t="array" ref="E56">GROWTH(C$37:C$56,B$37:B$56,B56)</f>
        <v>14.354282084351254</v>
      </c>
      <c r="F56" s="45">
        <f t="shared" si="1"/>
        <v>15.403115061479051</v>
      </c>
      <c r="G56" s="38">
        <f t="shared" si="4"/>
        <v>2.277103587904584</v>
      </c>
      <c r="H56" s="38">
        <f t="shared" si="2"/>
        <v>2.3542820843512544</v>
      </c>
      <c r="I56" s="38">
        <f t="shared" si="3"/>
        <v>3.4031150614790509</v>
      </c>
    </row>
    <row r="57" spans="1:9" x14ac:dyDescent="0.25">
      <c r="A57" s="27"/>
      <c r="B57" s="27"/>
      <c r="C57" s="27"/>
      <c r="D57" s="27"/>
      <c r="E57" s="27"/>
      <c r="F57" s="46"/>
      <c r="G57" s="27"/>
      <c r="H57" s="27"/>
      <c r="I57" s="27"/>
    </row>
    <row r="58" spans="1:9" x14ac:dyDescent="0.25">
      <c r="A58" s="42" t="s">
        <v>58</v>
      </c>
      <c r="B58" s="42" t="s">
        <v>247</v>
      </c>
      <c r="C58" s="42" t="s">
        <v>54</v>
      </c>
      <c r="D58" s="43" t="s">
        <v>55</v>
      </c>
      <c r="E58" s="43" t="s">
        <v>56</v>
      </c>
      <c r="F58" s="47" t="s">
        <v>57</v>
      </c>
    </row>
    <row r="59" spans="1:9" x14ac:dyDescent="0.25">
      <c r="A59" s="16">
        <v>21</v>
      </c>
      <c r="B59" s="17">
        <v>0.5</v>
      </c>
      <c r="C59" s="48">
        <f ca="1">OFFSET(C58,1,MATCH(G63,G62:I62,0))</f>
        <v>16.154822231875649</v>
      </c>
      <c r="D59" s="38" cm="1">
        <f t="array" ref="D59">TREND(C$37:C$56,B$37:B$56,B59)</f>
        <v>16.044436734683135</v>
      </c>
      <c r="E59" s="38" cm="1">
        <f t="array" ref="E59">GROWTH(C$37:C$56,B$37:B$56,B59)</f>
        <v>15.599482641781664</v>
      </c>
      <c r="F59" s="45">
        <f>$G$67*(B59)^2+$H$67*B59+$I$67</f>
        <v>16.154822231875649</v>
      </c>
    </row>
    <row r="60" spans="1:9" x14ac:dyDescent="0.25">
      <c r="A60" s="27"/>
      <c r="B60" s="27"/>
      <c r="C60" s="27"/>
      <c r="D60" s="27"/>
      <c r="E60" s="27"/>
    </row>
    <row r="61" spans="1:9" x14ac:dyDescent="0.25">
      <c r="A61" s="27"/>
      <c r="B61" s="27"/>
      <c r="C61" s="27"/>
      <c r="D61" s="27"/>
      <c r="E61" s="27"/>
      <c r="F61" s="37"/>
      <c r="G61" s="37" t="s">
        <v>44</v>
      </c>
      <c r="H61" s="37" t="s">
        <v>45</v>
      </c>
      <c r="I61" s="37" t="s">
        <v>46</v>
      </c>
    </row>
    <row r="62" spans="1:9" x14ac:dyDescent="0.25">
      <c r="A62" s="27"/>
      <c r="B62" s="27"/>
      <c r="C62" s="27"/>
      <c r="D62" s="27"/>
      <c r="E62" s="27"/>
      <c r="F62" s="37" t="s">
        <v>47</v>
      </c>
      <c r="G62" s="38">
        <f>AVERAGE(G37:G56)</f>
        <v>4.0683319458687039</v>
      </c>
      <c r="H62" s="38">
        <f>AVERAGE(H37:H56)</f>
        <v>4.1187569527079955</v>
      </c>
      <c r="I62" s="38">
        <f>AVERAGE(I37:I56)</f>
        <v>3.8603824159760052</v>
      </c>
    </row>
    <row r="63" spans="1:9" x14ac:dyDescent="0.25">
      <c r="A63" s="27"/>
      <c r="B63" s="27"/>
      <c r="C63" s="27"/>
      <c r="D63" s="27"/>
      <c r="E63" s="27"/>
      <c r="F63" s="37" t="s">
        <v>48</v>
      </c>
      <c r="G63" s="93">
        <f>MIN(G62:I62)</f>
        <v>3.8603824159760052</v>
      </c>
      <c r="I63"/>
    </row>
    <row r="64" spans="1:9" x14ac:dyDescent="0.25">
      <c r="A64" s="27"/>
      <c r="B64" s="27"/>
      <c r="C64" s="27"/>
      <c r="D64" s="27"/>
      <c r="E64" s="27"/>
      <c r="F64" s="37" t="s">
        <v>49</v>
      </c>
      <c r="G64" s="92" t="s">
        <v>264</v>
      </c>
      <c r="I64"/>
    </row>
    <row r="65" spans="6:9" x14ac:dyDescent="0.25">
      <c r="F65" s="27"/>
      <c r="G65" s="27"/>
      <c r="H65" s="27"/>
      <c r="I65" s="27"/>
    </row>
    <row r="66" spans="6:9" x14ac:dyDescent="0.25">
      <c r="F66" s="39" t="s">
        <v>40</v>
      </c>
      <c r="G66" s="40" t="s">
        <v>50</v>
      </c>
      <c r="H66" s="40" t="s">
        <v>51</v>
      </c>
      <c r="I66" s="40" t="s">
        <v>52</v>
      </c>
    </row>
    <row r="67" spans="6:9" x14ac:dyDescent="0.25">
      <c r="F67" s="94" t="s">
        <v>53</v>
      </c>
      <c r="G67" s="41" cm="1">
        <f t="array" ref="G67:I67">LINEST(C$37:C$56,B$37:B$56^{1,2},TRUE,FALSE)</f>
        <v>1.1230748438194327</v>
      </c>
      <c r="H67" s="41">
        <v>1.4177361240790822</v>
      </c>
      <c r="I67" s="41">
        <v>15.16518545888125</v>
      </c>
    </row>
    <row r="68" spans="6:9" x14ac:dyDescent="0.25">
      <c r="G68" s="1"/>
      <c r="I68"/>
    </row>
    <row r="69" spans="6:9" x14ac:dyDescent="0.25">
      <c r="G69" s="1"/>
      <c r="I69"/>
    </row>
    <row r="70" spans="6:9" x14ac:dyDescent="0.25">
      <c r="G70" s="1"/>
      <c r="I70"/>
    </row>
    <row r="71" spans="6:9" x14ac:dyDescent="0.25">
      <c r="G71" s="1"/>
      <c r="I71"/>
    </row>
    <row r="72" spans="6:9" x14ac:dyDescent="0.25">
      <c r="G72" s="1"/>
      <c r="I72"/>
    </row>
    <row r="73" spans="6:9" x14ac:dyDescent="0.25">
      <c r="G73" s="1"/>
      <c r="I73"/>
    </row>
    <row r="74" spans="6:9" x14ac:dyDescent="0.25">
      <c r="G74" s="1"/>
      <c r="I74"/>
    </row>
    <row r="75" spans="6:9" x14ac:dyDescent="0.25">
      <c r="G75" s="1"/>
      <c r="I75"/>
    </row>
    <row r="76" spans="6:9" x14ac:dyDescent="0.25">
      <c r="G76" s="1"/>
      <c r="I76"/>
    </row>
    <row r="77" spans="6:9" x14ac:dyDescent="0.25">
      <c r="G77" s="1"/>
      <c r="I77"/>
    </row>
    <row r="78" spans="6:9" x14ac:dyDescent="0.25">
      <c r="G78" s="1"/>
      <c r="I78"/>
    </row>
    <row r="79" spans="6:9" x14ac:dyDescent="0.25">
      <c r="G79" s="1"/>
      <c r="I79"/>
    </row>
    <row r="80" spans="6:9" x14ac:dyDescent="0.25">
      <c r="G80" s="1"/>
      <c r="I80"/>
    </row>
    <row r="81" spans="7:9" x14ac:dyDescent="0.25">
      <c r="G81" s="1"/>
      <c r="I81"/>
    </row>
    <row r="82" spans="7:9" x14ac:dyDescent="0.25">
      <c r="G82" s="1"/>
      <c r="I82"/>
    </row>
    <row r="83" spans="7:9" x14ac:dyDescent="0.25">
      <c r="G83" s="1"/>
      <c r="I83"/>
    </row>
    <row r="84" spans="7:9" x14ac:dyDescent="0.25">
      <c r="G84" s="1"/>
      <c r="I84"/>
    </row>
    <row r="85" spans="7:9" x14ac:dyDescent="0.25">
      <c r="G85" s="1"/>
      <c r="I85"/>
    </row>
    <row r="86" spans="7:9" x14ac:dyDescent="0.25">
      <c r="G86" s="1"/>
      <c r="I86"/>
    </row>
    <row r="87" spans="7:9" x14ac:dyDescent="0.25">
      <c r="G87" s="1"/>
      <c r="I87"/>
    </row>
    <row r="88" spans="7:9" x14ac:dyDescent="0.25">
      <c r="G88" s="1"/>
      <c r="I88"/>
    </row>
    <row r="89" spans="7:9" x14ac:dyDescent="0.25">
      <c r="G89" s="1"/>
      <c r="I89"/>
    </row>
    <row r="90" spans="7:9" x14ac:dyDescent="0.25">
      <c r="G90" s="1"/>
      <c r="I90"/>
    </row>
    <row r="91" spans="7:9" x14ac:dyDescent="0.25">
      <c r="G91" s="1"/>
      <c r="I91"/>
    </row>
    <row r="92" spans="7:9" x14ac:dyDescent="0.25">
      <c r="G92" s="1"/>
      <c r="I92"/>
    </row>
    <row r="93" spans="7:9" x14ac:dyDescent="0.25">
      <c r="G93" s="1"/>
      <c r="I93"/>
    </row>
    <row r="94" spans="7:9" x14ac:dyDescent="0.25">
      <c r="G94" s="1"/>
      <c r="I94"/>
    </row>
    <row r="95" spans="7:9" x14ac:dyDescent="0.25">
      <c r="G95" s="1"/>
      <c r="I95"/>
    </row>
    <row r="96" spans="7:9" x14ac:dyDescent="0.25">
      <c r="G96" s="1"/>
      <c r="I96"/>
    </row>
    <row r="97" spans="7:9" x14ac:dyDescent="0.25">
      <c r="G97" s="1"/>
      <c r="I97"/>
    </row>
    <row r="98" spans="7:9" x14ac:dyDescent="0.25">
      <c r="G98" s="1"/>
      <c r="I98"/>
    </row>
    <row r="99" spans="7:9" x14ac:dyDescent="0.25">
      <c r="G99" s="1"/>
      <c r="I99"/>
    </row>
    <row r="100" spans="7:9" x14ac:dyDescent="0.25">
      <c r="G100" s="1"/>
      <c r="I100"/>
    </row>
    <row r="101" spans="7:9" x14ac:dyDescent="0.25">
      <c r="G101" s="1"/>
      <c r="I101"/>
    </row>
    <row r="102" spans="7:9" x14ac:dyDescent="0.25">
      <c r="G102" s="1"/>
      <c r="I102"/>
    </row>
    <row r="103" spans="7:9" x14ac:dyDescent="0.25">
      <c r="G103" s="1"/>
      <c r="I103"/>
    </row>
    <row r="104" spans="7:9" x14ac:dyDescent="0.25">
      <c r="G104" s="1"/>
      <c r="I104"/>
    </row>
    <row r="105" spans="7:9" x14ac:dyDescent="0.25">
      <c r="G105" s="1"/>
      <c r="I105"/>
    </row>
    <row r="106" spans="7:9" x14ac:dyDescent="0.25">
      <c r="G106" s="1"/>
      <c r="I106"/>
    </row>
    <row r="107" spans="7:9" x14ac:dyDescent="0.25">
      <c r="G107" s="1"/>
      <c r="I107"/>
    </row>
    <row r="108" spans="7:9" x14ac:dyDescent="0.25">
      <c r="G108" s="1"/>
      <c r="I108"/>
    </row>
    <row r="109" spans="7:9" x14ac:dyDescent="0.25">
      <c r="G109" s="1"/>
      <c r="I109"/>
    </row>
    <row r="110" spans="7:9" x14ac:dyDescent="0.25">
      <c r="G110" s="1"/>
      <c r="I110"/>
    </row>
    <row r="111" spans="7:9" x14ac:dyDescent="0.25">
      <c r="G111" s="1"/>
      <c r="I111"/>
    </row>
    <row r="112" spans="7:9" x14ac:dyDescent="0.25">
      <c r="G112" s="1"/>
      <c r="I112"/>
    </row>
    <row r="113" spans="7:9" x14ac:dyDescent="0.25">
      <c r="G113" s="1"/>
      <c r="I113"/>
    </row>
    <row r="114" spans="7:9" x14ac:dyDescent="0.25">
      <c r="G114" s="1"/>
      <c r="I114"/>
    </row>
    <row r="115" spans="7:9" x14ac:dyDescent="0.25">
      <c r="G115" s="1"/>
      <c r="I115"/>
    </row>
    <row r="116" spans="7:9" x14ac:dyDescent="0.25">
      <c r="G116" s="1"/>
      <c r="I116"/>
    </row>
    <row r="117" spans="7:9" x14ac:dyDescent="0.25">
      <c r="G117" s="1"/>
      <c r="I117"/>
    </row>
    <row r="118" spans="7:9" x14ac:dyDescent="0.25">
      <c r="G118" s="1"/>
      <c r="I118"/>
    </row>
    <row r="119" spans="7:9" x14ac:dyDescent="0.25">
      <c r="G119" s="1"/>
      <c r="I119"/>
    </row>
    <row r="120" spans="7:9" x14ac:dyDescent="0.25">
      <c r="G120" s="1"/>
      <c r="I120"/>
    </row>
    <row r="121" spans="7:9" x14ac:dyDescent="0.25">
      <c r="G121" s="1"/>
      <c r="I121"/>
    </row>
    <row r="122" spans="7:9" x14ac:dyDescent="0.25">
      <c r="G122" s="1"/>
      <c r="I122"/>
    </row>
    <row r="123" spans="7:9" x14ac:dyDescent="0.25">
      <c r="G123" s="1"/>
      <c r="I123"/>
    </row>
    <row r="124" spans="7:9" x14ac:dyDescent="0.25">
      <c r="G124" s="1"/>
      <c r="I124"/>
    </row>
    <row r="125" spans="7:9" x14ac:dyDescent="0.25">
      <c r="G125" s="1"/>
      <c r="I125"/>
    </row>
    <row r="126" spans="7:9" x14ac:dyDescent="0.25">
      <c r="G126" s="1"/>
      <c r="I126"/>
    </row>
    <row r="127" spans="7:9" x14ac:dyDescent="0.25">
      <c r="G127" s="1"/>
      <c r="I127"/>
    </row>
    <row r="128" spans="7:9" x14ac:dyDescent="0.25">
      <c r="G128" s="1"/>
      <c r="I128"/>
    </row>
    <row r="129" spans="7:9" x14ac:dyDescent="0.25">
      <c r="G129" s="1"/>
      <c r="I129"/>
    </row>
    <row r="130" spans="7:9" x14ac:dyDescent="0.25">
      <c r="G130" s="1"/>
      <c r="I130"/>
    </row>
    <row r="131" spans="7:9" x14ac:dyDescent="0.25">
      <c r="G131" s="1"/>
      <c r="I131"/>
    </row>
    <row r="132" spans="7:9" x14ac:dyDescent="0.25">
      <c r="G132" s="1"/>
      <c r="I132"/>
    </row>
    <row r="133" spans="7:9" x14ac:dyDescent="0.25">
      <c r="G133" s="1"/>
      <c r="I133"/>
    </row>
    <row r="134" spans="7:9" x14ac:dyDescent="0.25">
      <c r="G134" s="1"/>
      <c r="I134"/>
    </row>
    <row r="135" spans="7:9" x14ac:dyDescent="0.25">
      <c r="G135" s="1"/>
      <c r="I135"/>
    </row>
    <row r="136" spans="7:9" x14ac:dyDescent="0.25">
      <c r="G136" s="1"/>
      <c r="I136"/>
    </row>
    <row r="137" spans="7:9" x14ac:dyDescent="0.25">
      <c r="G137" s="1"/>
      <c r="I137"/>
    </row>
    <row r="138" spans="7:9" x14ac:dyDescent="0.25">
      <c r="G138" s="1"/>
      <c r="I138"/>
    </row>
    <row r="139" spans="7:9" x14ac:dyDescent="0.25">
      <c r="G139" s="1"/>
      <c r="I139"/>
    </row>
    <row r="140" spans="7:9" x14ac:dyDescent="0.25">
      <c r="G140" s="1"/>
      <c r="I140"/>
    </row>
    <row r="141" spans="7:9" x14ac:dyDescent="0.25">
      <c r="G141" s="1"/>
      <c r="I141"/>
    </row>
    <row r="142" spans="7:9" x14ac:dyDescent="0.25">
      <c r="G142" s="1"/>
      <c r="I142"/>
    </row>
    <row r="143" spans="7:9" x14ac:dyDescent="0.25">
      <c r="G143" s="1"/>
      <c r="I143"/>
    </row>
    <row r="144" spans="7:9" x14ac:dyDescent="0.25">
      <c r="G144" s="1"/>
      <c r="I144"/>
    </row>
    <row r="145" spans="7:9" x14ac:dyDescent="0.25">
      <c r="G145" s="1"/>
      <c r="I145"/>
    </row>
    <row r="146" spans="7:9" x14ac:dyDescent="0.25">
      <c r="G146" s="1"/>
      <c r="I146"/>
    </row>
    <row r="147" spans="7:9" x14ac:dyDescent="0.25">
      <c r="G147" s="1"/>
      <c r="I147"/>
    </row>
    <row r="148" spans="7:9" x14ac:dyDescent="0.25">
      <c r="G148" s="1"/>
      <c r="I148"/>
    </row>
    <row r="149" spans="7:9" x14ac:dyDescent="0.25">
      <c r="G149" s="1"/>
      <c r="I149"/>
    </row>
    <row r="150" spans="7:9" x14ac:dyDescent="0.25">
      <c r="G150" s="1"/>
      <c r="I150"/>
    </row>
    <row r="151" spans="7:9" x14ac:dyDescent="0.25">
      <c r="G151" s="1"/>
      <c r="I151"/>
    </row>
    <row r="152" spans="7:9" x14ac:dyDescent="0.25">
      <c r="G152" s="1"/>
      <c r="I152"/>
    </row>
    <row r="153" spans="7:9" x14ac:dyDescent="0.25">
      <c r="G153" s="1"/>
      <c r="I153"/>
    </row>
    <row r="154" spans="7:9" x14ac:dyDescent="0.25">
      <c r="G154" s="1"/>
      <c r="I154"/>
    </row>
    <row r="155" spans="7:9" x14ac:dyDescent="0.25">
      <c r="G155" s="1"/>
      <c r="I155"/>
    </row>
    <row r="156" spans="7:9" x14ac:dyDescent="0.25">
      <c r="G156" s="1"/>
      <c r="I156"/>
    </row>
    <row r="157" spans="7:9" x14ac:dyDescent="0.25">
      <c r="G157" s="1"/>
      <c r="I157"/>
    </row>
    <row r="158" spans="7:9" x14ac:dyDescent="0.25">
      <c r="G158" s="1"/>
      <c r="I158"/>
    </row>
    <row r="159" spans="7:9" x14ac:dyDescent="0.25">
      <c r="G159" s="1"/>
      <c r="I159"/>
    </row>
    <row r="160" spans="7:9" x14ac:dyDescent="0.25">
      <c r="G160" s="1"/>
      <c r="I160"/>
    </row>
    <row r="161" spans="7:9" x14ac:dyDescent="0.25">
      <c r="G161" s="1"/>
      <c r="I161"/>
    </row>
    <row r="162" spans="7:9" x14ac:dyDescent="0.25">
      <c r="G162" s="1"/>
      <c r="I162"/>
    </row>
    <row r="163" spans="7:9" x14ac:dyDescent="0.25">
      <c r="G163" s="1"/>
      <c r="I163"/>
    </row>
    <row r="164" spans="7:9" x14ac:dyDescent="0.25">
      <c r="G164" s="1"/>
      <c r="I164"/>
    </row>
    <row r="165" spans="7:9" x14ac:dyDescent="0.25">
      <c r="G165" s="1"/>
      <c r="I165"/>
    </row>
    <row r="166" spans="7:9" x14ac:dyDescent="0.25">
      <c r="G166" s="1"/>
      <c r="I166"/>
    </row>
    <row r="167" spans="7:9" x14ac:dyDescent="0.25">
      <c r="G167" s="1"/>
      <c r="I167"/>
    </row>
    <row r="168" spans="7:9" x14ac:dyDescent="0.25">
      <c r="G168" s="1"/>
      <c r="I168"/>
    </row>
    <row r="169" spans="7:9" x14ac:dyDescent="0.25">
      <c r="G169" s="1"/>
      <c r="I169"/>
    </row>
    <row r="170" spans="7:9" x14ac:dyDescent="0.25">
      <c r="G170" s="1"/>
      <c r="I170"/>
    </row>
    <row r="171" spans="7:9" x14ac:dyDescent="0.25">
      <c r="G171" s="1"/>
      <c r="I171"/>
    </row>
    <row r="172" spans="7:9" x14ac:dyDescent="0.25">
      <c r="G172" s="1"/>
      <c r="I172"/>
    </row>
    <row r="173" spans="7:9" x14ac:dyDescent="0.25">
      <c r="G173" s="1"/>
      <c r="I173"/>
    </row>
    <row r="174" spans="7:9" x14ac:dyDescent="0.25">
      <c r="G174" s="1"/>
      <c r="I174"/>
    </row>
    <row r="175" spans="7:9" x14ac:dyDescent="0.25">
      <c r="G175" s="1"/>
      <c r="I175"/>
    </row>
    <row r="176" spans="7:9" x14ac:dyDescent="0.25">
      <c r="G176" s="1"/>
      <c r="I176"/>
    </row>
    <row r="177" spans="7:9" x14ac:dyDescent="0.25">
      <c r="G177" s="1"/>
      <c r="I177"/>
    </row>
    <row r="178" spans="7:9" x14ac:dyDescent="0.25">
      <c r="G178" s="1"/>
      <c r="I178"/>
    </row>
    <row r="179" spans="7:9" x14ac:dyDescent="0.25">
      <c r="G179" s="1"/>
      <c r="I179"/>
    </row>
    <row r="180" spans="7:9" x14ac:dyDescent="0.25">
      <c r="G180" s="1"/>
      <c r="I180"/>
    </row>
    <row r="181" spans="7:9" x14ac:dyDescent="0.25">
      <c r="G181" s="1"/>
      <c r="I181"/>
    </row>
    <row r="182" spans="7:9" x14ac:dyDescent="0.25">
      <c r="G182" s="1"/>
      <c r="I182"/>
    </row>
    <row r="183" spans="7:9" x14ac:dyDescent="0.25">
      <c r="G183" s="1"/>
      <c r="I183"/>
    </row>
    <row r="184" spans="7:9" x14ac:dyDescent="0.25">
      <c r="G184" s="1"/>
      <c r="I184"/>
    </row>
    <row r="185" spans="7:9" x14ac:dyDescent="0.25">
      <c r="G185" s="1"/>
      <c r="I185"/>
    </row>
    <row r="186" spans="7:9" x14ac:dyDescent="0.25">
      <c r="G186" s="1"/>
      <c r="I186"/>
    </row>
    <row r="187" spans="7:9" x14ac:dyDescent="0.25">
      <c r="G187" s="1"/>
      <c r="I187"/>
    </row>
    <row r="188" spans="7:9" x14ac:dyDescent="0.25">
      <c r="G188" s="1"/>
      <c r="I188"/>
    </row>
    <row r="189" spans="7:9" x14ac:dyDescent="0.25">
      <c r="G189" s="1"/>
      <c r="I189"/>
    </row>
    <row r="190" spans="7:9" x14ac:dyDescent="0.25">
      <c r="G190" s="1"/>
      <c r="I190"/>
    </row>
    <row r="191" spans="7:9" x14ac:dyDescent="0.25">
      <c r="G191" s="1"/>
      <c r="I191"/>
    </row>
    <row r="192" spans="7:9" x14ac:dyDescent="0.25">
      <c r="G192" s="1"/>
      <c r="I192"/>
    </row>
    <row r="193" spans="7:9" x14ac:dyDescent="0.25">
      <c r="G193" s="1"/>
      <c r="I193"/>
    </row>
    <row r="194" spans="7:9" x14ac:dyDescent="0.25">
      <c r="G194" s="1"/>
      <c r="I194"/>
    </row>
    <row r="195" spans="7:9" x14ac:dyDescent="0.25">
      <c r="G195" s="1"/>
      <c r="I195"/>
    </row>
    <row r="196" spans="7:9" x14ac:dyDescent="0.25">
      <c r="G196" s="1"/>
      <c r="I196"/>
    </row>
    <row r="197" spans="7:9" x14ac:dyDescent="0.25">
      <c r="G197" s="1"/>
      <c r="I197"/>
    </row>
    <row r="198" spans="7:9" x14ac:dyDescent="0.25">
      <c r="G198" s="1"/>
      <c r="I198"/>
    </row>
    <row r="199" spans="7:9" x14ac:dyDescent="0.25">
      <c r="G199" s="1"/>
      <c r="I199"/>
    </row>
    <row r="200" spans="7:9" x14ac:dyDescent="0.25">
      <c r="G200" s="1"/>
      <c r="I200"/>
    </row>
    <row r="201" spans="7:9" x14ac:dyDescent="0.25">
      <c r="G201" s="1"/>
      <c r="I201"/>
    </row>
    <row r="202" spans="7:9" x14ac:dyDescent="0.25">
      <c r="G202" s="1"/>
      <c r="I202"/>
    </row>
    <row r="203" spans="7:9" x14ac:dyDescent="0.25">
      <c r="G203" s="1"/>
      <c r="I203"/>
    </row>
    <row r="204" spans="7:9" x14ac:dyDescent="0.25">
      <c r="G204" s="1"/>
      <c r="I204"/>
    </row>
    <row r="205" spans="7:9" x14ac:dyDescent="0.25">
      <c r="G205" s="1"/>
      <c r="I205"/>
    </row>
    <row r="206" spans="7:9" x14ac:dyDescent="0.25">
      <c r="G206" s="1"/>
      <c r="I206"/>
    </row>
    <row r="207" spans="7:9" x14ac:dyDescent="0.25">
      <c r="G207" s="1"/>
      <c r="I207"/>
    </row>
    <row r="208" spans="7:9" x14ac:dyDescent="0.25">
      <c r="G208" s="1"/>
      <c r="I208"/>
    </row>
    <row r="209" spans="7:9" x14ac:dyDescent="0.25">
      <c r="G209" s="1"/>
      <c r="I209"/>
    </row>
    <row r="210" spans="7:9" x14ac:dyDescent="0.25">
      <c r="G210" s="1"/>
      <c r="I210"/>
    </row>
    <row r="211" spans="7:9" x14ac:dyDescent="0.25">
      <c r="G211" s="1"/>
      <c r="I211"/>
    </row>
    <row r="212" spans="7:9" x14ac:dyDescent="0.25">
      <c r="G212" s="1"/>
      <c r="I212"/>
    </row>
    <row r="213" spans="7:9" x14ac:dyDescent="0.25">
      <c r="G213" s="1"/>
      <c r="I213"/>
    </row>
    <row r="214" spans="7:9" x14ac:dyDescent="0.25">
      <c r="G214" s="1"/>
      <c r="I214"/>
    </row>
    <row r="215" spans="7:9" x14ac:dyDescent="0.25">
      <c r="G215" s="1"/>
      <c r="I215"/>
    </row>
    <row r="216" spans="7:9" x14ac:dyDescent="0.25">
      <c r="G216" s="1"/>
      <c r="I216"/>
    </row>
    <row r="217" spans="7:9" x14ac:dyDescent="0.25">
      <c r="G217" s="1"/>
      <c r="I217"/>
    </row>
    <row r="218" spans="7:9" x14ac:dyDescent="0.25">
      <c r="G218" s="1"/>
      <c r="I218"/>
    </row>
    <row r="219" spans="7:9" x14ac:dyDescent="0.25">
      <c r="G219" s="1"/>
      <c r="I219"/>
    </row>
    <row r="220" spans="7:9" x14ac:dyDescent="0.25">
      <c r="G220" s="1"/>
      <c r="I220"/>
    </row>
    <row r="221" spans="7:9" x14ac:dyDescent="0.25">
      <c r="G221" s="1"/>
      <c r="I221"/>
    </row>
    <row r="222" spans="7:9" x14ac:dyDescent="0.25">
      <c r="G222" s="1"/>
      <c r="I222"/>
    </row>
    <row r="223" spans="7:9" x14ac:dyDescent="0.25">
      <c r="G223" s="1"/>
      <c r="I223"/>
    </row>
    <row r="224" spans="7:9" x14ac:dyDescent="0.25">
      <c r="G224" s="1"/>
      <c r="I224"/>
    </row>
    <row r="225" spans="7:9" x14ac:dyDescent="0.25">
      <c r="G225" s="1"/>
      <c r="I225"/>
    </row>
    <row r="226" spans="7:9" x14ac:dyDescent="0.25">
      <c r="G226" s="1"/>
      <c r="I226"/>
    </row>
    <row r="227" spans="7:9" x14ac:dyDescent="0.25">
      <c r="G227" s="1"/>
      <c r="I227"/>
    </row>
    <row r="228" spans="7:9" x14ac:dyDescent="0.25">
      <c r="G228" s="1"/>
      <c r="I228"/>
    </row>
    <row r="229" spans="7:9" x14ac:dyDescent="0.25">
      <c r="G229" s="1"/>
      <c r="I229"/>
    </row>
    <row r="230" spans="7:9" x14ac:dyDescent="0.25">
      <c r="G230" s="1"/>
      <c r="I230"/>
    </row>
    <row r="231" spans="7:9" x14ac:dyDescent="0.25">
      <c r="G231" s="1"/>
      <c r="I231"/>
    </row>
    <row r="232" spans="7:9" x14ac:dyDescent="0.25">
      <c r="G232" s="1"/>
      <c r="I232"/>
    </row>
    <row r="233" spans="7:9" x14ac:dyDescent="0.25">
      <c r="G233" s="1"/>
      <c r="I233"/>
    </row>
    <row r="234" spans="7:9" x14ac:dyDescent="0.25">
      <c r="G234" s="1"/>
      <c r="I234"/>
    </row>
    <row r="235" spans="7:9" x14ac:dyDescent="0.25">
      <c r="G235" s="1"/>
      <c r="I235"/>
    </row>
    <row r="236" spans="7:9" x14ac:dyDescent="0.25">
      <c r="G236" s="1"/>
      <c r="I236"/>
    </row>
    <row r="237" spans="7:9" x14ac:dyDescent="0.25">
      <c r="G237" s="1"/>
      <c r="I237"/>
    </row>
    <row r="238" spans="7:9" x14ac:dyDescent="0.25">
      <c r="G238" s="1"/>
      <c r="I238"/>
    </row>
    <row r="239" spans="7:9" x14ac:dyDescent="0.25">
      <c r="G239" s="1"/>
      <c r="I239"/>
    </row>
    <row r="240" spans="7:9" x14ac:dyDescent="0.25">
      <c r="G240" s="1"/>
      <c r="I240"/>
    </row>
    <row r="241" spans="7:9" x14ac:dyDescent="0.25">
      <c r="G241" s="1"/>
      <c r="I241"/>
    </row>
    <row r="242" spans="7:9" x14ac:dyDescent="0.25">
      <c r="G242" s="1"/>
      <c r="I242"/>
    </row>
    <row r="243" spans="7:9" x14ac:dyDescent="0.25">
      <c r="G243" s="1"/>
      <c r="I243"/>
    </row>
    <row r="244" spans="7:9" x14ac:dyDescent="0.25">
      <c r="G244" s="1"/>
      <c r="I244"/>
    </row>
    <row r="245" spans="7:9" x14ac:dyDescent="0.25">
      <c r="G245" s="1"/>
      <c r="I245"/>
    </row>
    <row r="246" spans="7:9" x14ac:dyDescent="0.25">
      <c r="G246" s="1"/>
      <c r="I246"/>
    </row>
    <row r="247" spans="7:9" x14ac:dyDescent="0.25">
      <c r="G247" s="1"/>
      <c r="I247"/>
    </row>
    <row r="248" spans="7:9" x14ac:dyDescent="0.25">
      <c r="G248" s="1"/>
      <c r="I248"/>
    </row>
    <row r="249" spans="7:9" x14ac:dyDescent="0.25">
      <c r="G249" s="1"/>
      <c r="I249"/>
    </row>
    <row r="250" spans="7:9" x14ac:dyDescent="0.25">
      <c r="G250" s="1"/>
      <c r="I250"/>
    </row>
    <row r="251" spans="7:9" x14ac:dyDescent="0.25">
      <c r="G251" s="1"/>
      <c r="I251"/>
    </row>
    <row r="252" spans="7:9" x14ac:dyDescent="0.25">
      <c r="G252" s="1"/>
      <c r="I252"/>
    </row>
    <row r="253" spans="7:9" x14ac:dyDescent="0.25">
      <c r="G253" s="1"/>
      <c r="I253"/>
    </row>
    <row r="254" spans="7:9" x14ac:dyDescent="0.25">
      <c r="G254" s="1"/>
      <c r="I254"/>
    </row>
    <row r="255" spans="7:9" x14ac:dyDescent="0.25">
      <c r="G255" s="1"/>
      <c r="I255"/>
    </row>
    <row r="256" spans="7:9" x14ac:dyDescent="0.25">
      <c r="G256" s="1"/>
      <c r="I256"/>
    </row>
    <row r="257" spans="7:9" x14ac:dyDescent="0.25">
      <c r="G257" s="1"/>
      <c r="I257"/>
    </row>
    <row r="258" spans="7:9" x14ac:dyDescent="0.25">
      <c r="G258" s="1"/>
      <c r="I258"/>
    </row>
    <row r="259" spans="7:9" x14ac:dyDescent="0.25">
      <c r="G259" s="1"/>
      <c r="I259"/>
    </row>
    <row r="260" spans="7:9" x14ac:dyDescent="0.25">
      <c r="G260" s="1"/>
      <c r="I260"/>
    </row>
    <row r="261" spans="7:9" x14ac:dyDescent="0.25">
      <c r="G261" s="1"/>
      <c r="I261"/>
    </row>
    <row r="262" spans="7:9" x14ac:dyDescent="0.25">
      <c r="G262" s="1"/>
      <c r="I262"/>
    </row>
    <row r="263" spans="7:9" x14ac:dyDescent="0.25">
      <c r="G263" s="1"/>
      <c r="I263"/>
    </row>
    <row r="264" spans="7:9" x14ac:dyDescent="0.25">
      <c r="G264" s="1"/>
      <c r="I264"/>
    </row>
    <row r="265" spans="7:9" x14ac:dyDescent="0.25">
      <c r="G265" s="1"/>
      <c r="I265"/>
    </row>
    <row r="266" spans="7:9" x14ac:dyDescent="0.25">
      <c r="G266" s="1"/>
      <c r="I266"/>
    </row>
    <row r="267" spans="7:9" x14ac:dyDescent="0.25">
      <c r="G267" s="1"/>
      <c r="I267"/>
    </row>
    <row r="268" spans="7:9" x14ac:dyDescent="0.25">
      <c r="G268" s="1"/>
      <c r="I268"/>
    </row>
    <row r="269" spans="7:9" x14ac:dyDescent="0.25">
      <c r="G269" s="1"/>
      <c r="I269"/>
    </row>
    <row r="270" spans="7:9" x14ac:dyDescent="0.25">
      <c r="G270" s="1"/>
      <c r="I270"/>
    </row>
    <row r="271" spans="7:9" x14ac:dyDescent="0.25">
      <c r="G271" s="1"/>
      <c r="I271"/>
    </row>
    <row r="272" spans="7:9" x14ac:dyDescent="0.25">
      <c r="G272" s="1"/>
      <c r="I272"/>
    </row>
    <row r="273" spans="7:9" x14ac:dyDescent="0.25">
      <c r="G273" s="1"/>
      <c r="I273"/>
    </row>
    <row r="274" spans="7:9" x14ac:dyDescent="0.25">
      <c r="G274" s="1"/>
      <c r="I274"/>
    </row>
    <row r="275" spans="7:9" x14ac:dyDescent="0.25">
      <c r="G275" s="1"/>
      <c r="I275"/>
    </row>
    <row r="276" spans="7:9" x14ac:dyDescent="0.25">
      <c r="G276" s="1"/>
      <c r="I276"/>
    </row>
    <row r="277" spans="7:9" x14ac:dyDescent="0.25">
      <c r="G277" s="1"/>
      <c r="I277"/>
    </row>
    <row r="278" spans="7:9" x14ac:dyDescent="0.25">
      <c r="G278" s="1"/>
      <c r="I278"/>
    </row>
    <row r="279" spans="7:9" x14ac:dyDescent="0.25">
      <c r="G279" s="1"/>
      <c r="I279"/>
    </row>
    <row r="280" spans="7:9" x14ac:dyDescent="0.25">
      <c r="G280" s="1"/>
      <c r="I280"/>
    </row>
    <row r="281" spans="7:9" x14ac:dyDescent="0.25">
      <c r="G281" s="1"/>
      <c r="I281"/>
    </row>
    <row r="282" spans="7:9" x14ac:dyDescent="0.25">
      <c r="G282" s="1"/>
      <c r="I282"/>
    </row>
    <row r="283" spans="7:9" x14ac:dyDescent="0.25">
      <c r="G283" s="1"/>
      <c r="I283"/>
    </row>
    <row r="284" spans="7:9" x14ac:dyDescent="0.25">
      <c r="G284" s="1"/>
      <c r="I284"/>
    </row>
    <row r="285" spans="7:9" x14ac:dyDescent="0.25">
      <c r="G285" s="1"/>
      <c r="I285"/>
    </row>
    <row r="286" spans="7:9" x14ac:dyDescent="0.25">
      <c r="G286" s="1"/>
      <c r="I286"/>
    </row>
    <row r="287" spans="7:9" x14ac:dyDescent="0.25">
      <c r="G287" s="1"/>
      <c r="I287"/>
    </row>
    <row r="288" spans="7:9" x14ac:dyDescent="0.25">
      <c r="G288" s="1"/>
      <c r="I288"/>
    </row>
    <row r="289" spans="7:9" x14ac:dyDescent="0.25">
      <c r="G289" s="1"/>
      <c r="I289"/>
    </row>
    <row r="290" spans="7:9" x14ac:dyDescent="0.25">
      <c r="G290" s="1"/>
      <c r="I290"/>
    </row>
    <row r="291" spans="7:9" x14ac:dyDescent="0.25">
      <c r="G291" s="1"/>
      <c r="I291"/>
    </row>
    <row r="292" spans="7:9" x14ac:dyDescent="0.25">
      <c r="G292" s="1"/>
      <c r="I292"/>
    </row>
    <row r="293" spans="7:9" x14ac:dyDescent="0.25">
      <c r="G293" s="1"/>
      <c r="I293"/>
    </row>
    <row r="294" spans="7:9" x14ac:dyDescent="0.25">
      <c r="G294" s="1"/>
      <c r="I294"/>
    </row>
    <row r="295" spans="7:9" x14ac:dyDescent="0.25">
      <c r="G295" s="1"/>
      <c r="I295"/>
    </row>
    <row r="296" spans="7:9" x14ac:dyDescent="0.25">
      <c r="G296" s="1"/>
      <c r="I296"/>
    </row>
    <row r="297" spans="7:9" x14ac:dyDescent="0.25">
      <c r="G297" s="1"/>
      <c r="I297"/>
    </row>
    <row r="298" spans="7:9" x14ac:dyDescent="0.25">
      <c r="G298" s="1"/>
      <c r="I298"/>
    </row>
    <row r="299" spans="7:9" x14ac:dyDescent="0.25">
      <c r="G299" s="1"/>
      <c r="I299"/>
    </row>
    <row r="300" spans="7:9" x14ac:dyDescent="0.25">
      <c r="G300" s="1"/>
      <c r="I300"/>
    </row>
    <row r="301" spans="7:9" x14ac:dyDescent="0.25">
      <c r="G301" s="1"/>
      <c r="I301"/>
    </row>
    <row r="302" spans="7:9" x14ac:dyDescent="0.25">
      <c r="G302" s="1"/>
      <c r="I302"/>
    </row>
    <row r="303" spans="7:9" x14ac:dyDescent="0.25">
      <c r="G303" s="1"/>
      <c r="I303"/>
    </row>
    <row r="304" spans="7:9" x14ac:dyDescent="0.25">
      <c r="G304" s="1"/>
      <c r="I304"/>
    </row>
    <row r="305" spans="7:9" x14ac:dyDescent="0.25">
      <c r="G305" s="1"/>
      <c r="I305"/>
    </row>
    <row r="306" spans="7:9" x14ac:dyDescent="0.25">
      <c r="G306" s="1"/>
      <c r="I306"/>
    </row>
    <row r="307" spans="7:9" x14ac:dyDescent="0.25">
      <c r="G307" s="1"/>
      <c r="I307"/>
    </row>
    <row r="308" spans="7:9" x14ac:dyDescent="0.25">
      <c r="G308" s="1"/>
      <c r="I308"/>
    </row>
    <row r="309" spans="7:9" x14ac:dyDescent="0.25">
      <c r="G309" s="1"/>
      <c r="I309"/>
    </row>
    <row r="310" spans="7:9" x14ac:dyDescent="0.25">
      <c r="G310" s="1"/>
      <c r="I310"/>
    </row>
    <row r="311" spans="7:9" x14ac:dyDescent="0.25">
      <c r="G311" s="1"/>
      <c r="I311"/>
    </row>
    <row r="312" spans="7:9" x14ac:dyDescent="0.25">
      <c r="G312" s="1"/>
      <c r="I312"/>
    </row>
    <row r="313" spans="7:9" x14ac:dyDescent="0.25">
      <c r="G313" s="1"/>
      <c r="I313"/>
    </row>
    <row r="314" spans="7:9" x14ac:dyDescent="0.25">
      <c r="G314" s="1"/>
      <c r="I314"/>
    </row>
    <row r="315" spans="7:9" x14ac:dyDescent="0.25">
      <c r="G315" s="1"/>
      <c r="I315"/>
    </row>
    <row r="316" spans="7:9" x14ac:dyDescent="0.25">
      <c r="G316" s="1"/>
      <c r="I316"/>
    </row>
    <row r="317" spans="7:9" x14ac:dyDescent="0.25">
      <c r="G317" s="1"/>
      <c r="I317"/>
    </row>
    <row r="318" spans="7:9" x14ac:dyDescent="0.25">
      <c r="G318" s="1"/>
      <c r="I318"/>
    </row>
    <row r="319" spans="7:9" x14ac:dyDescent="0.25">
      <c r="G319" s="1"/>
      <c r="I319"/>
    </row>
    <row r="320" spans="7:9" x14ac:dyDescent="0.25">
      <c r="G320" s="1"/>
      <c r="I320"/>
    </row>
    <row r="321" spans="7:9" x14ac:dyDescent="0.25">
      <c r="G321" s="1"/>
      <c r="I321"/>
    </row>
    <row r="322" spans="7:9" x14ac:dyDescent="0.25">
      <c r="G322" s="1"/>
      <c r="I322"/>
    </row>
    <row r="323" spans="7:9" x14ac:dyDescent="0.25">
      <c r="G323" s="1"/>
      <c r="I323"/>
    </row>
    <row r="324" spans="7:9" x14ac:dyDescent="0.25">
      <c r="G324" s="1"/>
      <c r="I324"/>
    </row>
    <row r="325" spans="7:9" x14ac:dyDescent="0.25">
      <c r="G325" s="1"/>
      <c r="I325"/>
    </row>
    <row r="326" spans="7:9" x14ac:dyDescent="0.25">
      <c r="G326" s="1"/>
      <c r="I326"/>
    </row>
    <row r="327" spans="7:9" x14ac:dyDescent="0.25">
      <c r="G327" s="1"/>
      <c r="I327"/>
    </row>
    <row r="328" spans="7:9" x14ac:dyDescent="0.25">
      <c r="G328" s="1"/>
      <c r="I328"/>
    </row>
    <row r="329" spans="7:9" x14ac:dyDescent="0.25">
      <c r="G329" s="1"/>
      <c r="I329"/>
    </row>
    <row r="330" spans="7:9" x14ac:dyDescent="0.25">
      <c r="G330" s="1"/>
      <c r="I330"/>
    </row>
    <row r="331" spans="7:9" x14ac:dyDescent="0.25">
      <c r="G331" s="1"/>
      <c r="I331"/>
    </row>
    <row r="332" spans="7:9" x14ac:dyDescent="0.25">
      <c r="G332" s="1"/>
      <c r="I332"/>
    </row>
    <row r="333" spans="7:9" x14ac:dyDescent="0.25">
      <c r="G333" s="1"/>
      <c r="I333"/>
    </row>
    <row r="334" spans="7:9" x14ac:dyDescent="0.25">
      <c r="G334" s="1"/>
      <c r="I334"/>
    </row>
    <row r="335" spans="7:9" x14ac:dyDescent="0.25">
      <c r="G335" s="1"/>
      <c r="I335"/>
    </row>
    <row r="336" spans="7:9" x14ac:dyDescent="0.25">
      <c r="G336" s="1"/>
      <c r="I336"/>
    </row>
    <row r="337" spans="7:9" x14ac:dyDescent="0.25">
      <c r="G337" s="1"/>
      <c r="I337"/>
    </row>
    <row r="338" spans="7:9" x14ac:dyDescent="0.25">
      <c r="G338" s="1"/>
      <c r="I338"/>
    </row>
    <row r="339" spans="7:9" x14ac:dyDescent="0.25">
      <c r="G339" s="1"/>
      <c r="I339"/>
    </row>
    <row r="340" spans="7:9" x14ac:dyDescent="0.25">
      <c r="G340" s="1"/>
      <c r="I340"/>
    </row>
    <row r="341" spans="7:9" x14ac:dyDescent="0.25">
      <c r="G341" s="1"/>
      <c r="I341"/>
    </row>
    <row r="342" spans="7:9" x14ac:dyDescent="0.25">
      <c r="G342" s="1"/>
      <c r="I342"/>
    </row>
    <row r="343" spans="7:9" x14ac:dyDescent="0.25">
      <c r="G343" s="1"/>
      <c r="I343"/>
    </row>
    <row r="344" spans="7:9" x14ac:dyDescent="0.25">
      <c r="G344" s="1"/>
      <c r="I344"/>
    </row>
    <row r="345" spans="7:9" x14ac:dyDescent="0.25">
      <c r="G345" s="1"/>
      <c r="I345"/>
    </row>
    <row r="346" spans="7:9" x14ac:dyDescent="0.25">
      <c r="G346" s="1"/>
      <c r="I346"/>
    </row>
    <row r="347" spans="7:9" x14ac:dyDescent="0.25">
      <c r="G347" s="1"/>
      <c r="I347"/>
    </row>
    <row r="348" spans="7:9" x14ac:dyDescent="0.25">
      <c r="G348" s="1"/>
      <c r="I348"/>
    </row>
    <row r="349" spans="7:9" x14ac:dyDescent="0.25">
      <c r="G349" s="1"/>
      <c r="I349"/>
    </row>
    <row r="350" spans="7:9" x14ac:dyDescent="0.25">
      <c r="G350" s="1"/>
      <c r="I350"/>
    </row>
    <row r="351" spans="7:9" x14ac:dyDescent="0.25">
      <c r="G351" s="1"/>
      <c r="I351"/>
    </row>
    <row r="352" spans="7:9" x14ac:dyDescent="0.25">
      <c r="G352" s="1"/>
      <c r="I352"/>
    </row>
    <row r="353" spans="7:9" x14ac:dyDescent="0.25">
      <c r="G353" s="1"/>
      <c r="I353"/>
    </row>
    <row r="354" spans="7:9" x14ac:dyDescent="0.25">
      <c r="G354" s="1"/>
      <c r="I354"/>
    </row>
    <row r="355" spans="7:9" x14ac:dyDescent="0.25">
      <c r="G355" s="1"/>
      <c r="I355"/>
    </row>
    <row r="356" spans="7:9" x14ac:dyDescent="0.25">
      <c r="G356" s="1"/>
      <c r="I356"/>
    </row>
    <row r="357" spans="7:9" x14ac:dyDescent="0.25">
      <c r="G357" s="1"/>
      <c r="I357"/>
    </row>
    <row r="358" spans="7:9" x14ac:dyDescent="0.25">
      <c r="G358" s="1"/>
      <c r="I358"/>
    </row>
    <row r="359" spans="7:9" x14ac:dyDescent="0.25">
      <c r="G359" s="1"/>
      <c r="I359"/>
    </row>
    <row r="360" spans="7:9" x14ac:dyDescent="0.25">
      <c r="G360" s="1"/>
      <c r="I360"/>
    </row>
    <row r="361" spans="7:9" x14ac:dyDescent="0.25">
      <c r="G361" s="1"/>
      <c r="I361"/>
    </row>
    <row r="362" spans="7:9" x14ac:dyDescent="0.25">
      <c r="G362" s="1"/>
      <c r="I362"/>
    </row>
    <row r="363" spans="7:9" x14ac:dyDescent="0.25">
      <c r="G363" s="1"/>
      <c r="I363"/>
    </row>
    <row r="364" spans="7:9" x14ac:dyDescent="0.25">
      <c r="G364" s="1"/>
      <c r="I364"/>
    </row>
    <row r="365" spans="7:9" x14ac:dyDescent="0.25">
      <c r="G365" s="1"/>
      <c r="I365"/>
    </row>
    <row r="366" spans="7:9" x14ac:dyDescent="0.25">
      <c r="G366" s="1"/>
      <c r="I366"/>
    </row>
    <row r="367" spans="7:9" x14ac:dyDescent="0.25">
      <c r="G367" s="1"/>
      <c r="I367"/>
    </row>
    <row r="368" spans="7:9" x14ac:dyDescent="0.25">
      <c r="G368" s="1"/>
      <c r="I368"/>
    </row>
    <row r="369" spans="7:9" x14ac:dyDescent="0.25">
      <c r="G369" s="1"/>
      <c r="I369"/>
    </row>
    <row r="370" spans="7:9" x14ac:dyDescent="0.25">
      <c r="G370" s="1"/>
      <c r="I370"/>
    </row>
    <row r="371" spans="7:9" x14ac:dyDescent="0.25">
      <c r="G371" s="1"/>
      <c r="I371"/>
    </row>
    <row r="372" spans="7:9" x14ac:dyDescent="0.25">
      <c r="G372" s="1"/>
      <c r="I372"/>
    </row>
    <row r="373" spans="7:9" x14ac:dyDescent="0.25">
      <c r="G373" s="1"/>
      <c r="I373"/>
    </row>
    <row r="374" spans="7:9" x14ac:dyDescent="0.25">
      <c r="G374" s="1"/>
      <c r="I374"/>
    </row>
    <row r="375" spans="7:9" x14ac:dyDescent="0.25">
      <c r="G375" s="1"/>
      <c r="I375"/>
    </row>
    <row r="376" spans="7:9" x14ac:dyDescent="0.25">
      <c r="G376" s="1"/>
      <c r="I376"/>
    </row>
    <row r="377" spans="7:9" x14ac:dyDescent="0.25">
      <c r="G377" s="1"/>
      <c r="I377"/>
    </row>
    <row r="378" spans="7:9" x14ac:dyDescent="0.25">
      <c r="G378" s="1"/>
      <c r="I378"/>
    </row>
    <row r="379" spans="7:9" x14ac:dyDescent="0.25">
      <c r="G379" s="1"/>
      <c r="I379"/>
    </row>
    <row r="380" spans="7:9" x14ac:dyDescent="0.25">
      <c r="G380" s="1"/>
      <c r="I380"/>
    </row>
    <row r="381" spans="7:9" x14ac:dyDescent="0.25">
      <c r="G381" s="1"/>
      <c r="I381"/>
    </row>
    <row r="382" spans="7:9" x14ac:dyDescent="0.25">
      <c r="G382" s="1"/>
      <c r="I382"/>
    </row>
    <row r="383" spans="7:9" x14ac:dyDescent="0.25">
      <c r="G383" s="1"/>
      <c r="I383"/>
    </row>
    <row r="384" spans="7:9" x14ac:dyDescent="0.25">
      <c r="G384" s="1"/>
      <c r="I384"/>
    </row>
    <row r="385" spans="7:9" x14ac:dyDescent="0.25">
      <c r="G385" s="1"/>
      <c r="I385"/>
    </row>
    <row r="386" spans="7:9" x14ac:dyDescent="0.25">
      <c r="G386" s="1"/>
      <c r="I386"/>
    </row>
    <row r="387" spans="7:9" x14ac:dyDescent="0.25">
      <c r="G387" s="1"/>
      <c r="I387"/>
    </row>
    <row r="388" spans="7:9" x14ac:dyDescent="0.25">
      <c r="G388" s="1"/>
      <c r="I388"/>
    </row>
    <row r="389" spans="7:9" x14ac:dyDescent="0.25">
      <c r="G389" s="1"/>
      <c r="I389"/>
    </row>
    <row r="390" spans="7:9" x14ac:dyDescent="0.25">
      <c r="G390" s="1"/>
      <c r="I390"/>
    </row>
    <row r="391" spans="7:9" x14ac:dyDescent="0.25">
      <c r="G391" s="1"/>
      <c r="I391"/>
    </row>
    <row r="392" spans="7:9" x14ac:dyDescent="0.25">
      <c r="G392" s="1"/>
      <c r="I392"/>
    </row>
    <row r="393" spans="7:9" x14ac:dyDescent="0.25">
      <c r="G393" s="1"/>
    </row>
    <row r="394" spans="7:9" x14ac:dyDescent="0.25">
      <c r="G394" s="1"/>
    </row>
    <row r="395" spans="7:9" x14ac:dyDescent="0.25">
      <c r="G395" s="1"/>
    </row>
    <row r="396" spans="7:9" x14ac:dyDescent="0.25">
      <c r="G396" s="1"/>
    </row>
    <row r="397" spans="7:9" x14ac:dyDescent="0.25">
      <c r="G397" s="1"/>
    </row>
    <row r="398" spans="7:9" x14ac:dyDescent="0.25">
      <c r="G398" s="1"/>
    </row>
    <row r="399" spans="7:9" x14ac:dyDescent="0.25">
      <c r="G399" s="1"/>
    </row>
    <row r="400" spans="7:9" x14ac:dyDescent="0.25">
      <c r="G400" s="1"/>
    </row>
    <row r="401" spans="7:7" x14ac:dyDescent="0.25">
      <c r="G401" s="1"/>
    </row>
    <row r="402" spans="7:7" x14ac:dyDescent="0.25">
      <c r="G402" s="1"/>
    </row>
    <row r="403" spans="7:7" x14ac:dyDescent="0.25">
      <c r="G403" s="1"/>
    </row>
    <row r="404" spans="7:7" x14ac:dyDescent="0.25">
      <c r="G404" s="1"/>
    </row>
    <row r="405" spans="7:7" x14ac:dyDescent="0.25">
      <c r="G405" s="1"/>
    </row>
    <row r="406" spans="7:7" x14ac:dyDescent="0.25">
      <c r="G406" s="1"/>
    </row>
    <row r="407" spans="7:7" x14ac:dyDescent="0.25">
      <c r="G407" s="1"/>
    </row>
    <row r="408" spans="7:7" x14ac:dyDescent="0.25">
      <c r="G408" s="1"/>
    </row>
    <row r="409" spans="7:7" x14ac:dyDescent="0.25">
      <c r="G409" s="1"/>
    </row>
    <row r="410" spans="7:7" x14ac:dyDescent="0.25">
      <c r="G410" s="1"/>
    </row>
    <row r="411" spans="7:7" x14ac:dyDescent="0.25">
      <c r="G411" s="1"/>
    </row>
    <row r="412" spans="7:7" x14ac:dyDescent="0.25">
      <c r="G412" s="1"/>
    </row>
    <row r="413" spans="7:7" x14ac:dyDescent="0.25">
      <c r="G413" s="1"/>
    </row>
    <row r="414" spans="7:7" x14ac:dyDescent="0.25">
      <c r="G414" s="1"/>
    </row>
    <row r="415" spans="7:7" x14ac:dyDescent="0.25">
      <c r="G415" s="1"/>
    </row>
    <row r="416" spans="7:7" x14ac:dyDescent="0.25">
      <c r="G416" s="1"/>
    </row>
    <row r="417" spans="7:7" x14ac:dyDescent="0.25">
      <c r="G417" s="1"/>
    </row>
    <row r="418" spans="7:7" x14ac:dyDescent="0.25">
      <c r="G418" s="1"/>
    </row>
    <row r="419" spans="7:7" x14ac:dyDescent="0.25">
      <c r="G419" s="1"/>
    </row>
    <row r="420" spans="7:7" x14ac:dyDescent="0.25">
      <c r="G420" s="1"/>
    </row>
    <row r="421" spans="7:7" x14ac:dyDescent="0.25">
      <c r="G421" s="1"/>
    </row>
    <row r="422" spans="7:7" x14ac:dyDescent="0.25">
      <c r="G422" s="1"/>
    </row>
    <row r="423" spans="7:7" x14ac:dyDescent="0.25">
      <c r="G423" s="1"/>
    </row>
    <row r="424" spans="7:7" x14ac:dyDescent="0.25">
      <c r="G424" s="1"/>
    </row>
    <row r="425" spans="7:7" x14ac:dyDescent="0.25">
      <c r="G425" s="1"/>
    </row>
    <row r="426" spans="7:7" x14ac:dyDescent="0.25">
      <c r="G426" s="1"/>
    </row>
    <row r="427" spans="7:7" x14ac:dyDescent="0.25">
      <c r="G427" s="1"/>
    </row>
    <row r="428" spans="7:7" x14ac:dyDescent="0.25">
      <c r="G428" s="1"/>
    </row>
    <row r="429" spans="7:7" x14ac:dyDescent="0.25">
      <c r="G429" s="1"/>
    </row>
    <row r="430" spans="7:7" x14ac:dyDescent="0.25">
      <c r="G430" s="1"/>
    </row>
    <row r="431" spans="7:7" x14ac:dyDescent="0.25">
      <c r="G431" s="1"/>
    </row>
    <row r="432" spans="7:7" x14ac:dyDescent="0.25">
      <c r="G432" s="1"/>
    </row>
    <row r="433" spans="7:7" x14ac:dyDescent="0.25">
      <c r="G433" s="1"/>
    </row>
    <row r="434" spans="7:7" x14ac:dyDescent="0.25">
      <c r="G434" s="1"/>
    </row>
    <row r="435" spans="7:7" x14ac:dyDescent="0.25">
      <c r="G435" s="1"/>
    </row>
    <row r="436" spans="7:7" x14ac:dyDescent="0.25">
      <c r="G436" s="1"/>
    </row>
    <row r="437" spans="7:7" x14ac:dyDescent="0.25">
      <c r="G437" s="1"/>
    </row>
    <row r="438" spans="7:7" x14ac:dyDescent="0.25">
      <c r="G438" s="1"/>
    </row>
    <row r="439" spans="7:7" x14ac:dyDescent="0.25">
      <c r="G439" s="1"/>
    </row>
    <row r="440" spans="7:7" x14ac:dyDescent="0.25">
      <c r="G440" s="1"/>
    </row>
    <row r="441" spans="7:7" x14ac:dyDescent="0.25">
      <c r="G441" s="1"/>
    </row>
    <row r="442" spans="7:7" x14ac:dyDescent="0.25">
      <c r="G442" s="1"/>
    </row>
    <row r="443" spans="7:7" x14ac:dyDescent="0.25">
      <c r="G443" s="1"/>
    </row>
    <row r="444" spans="7:7" x14ac:dyDescent="0.25">
      <c r="G444" s="1"/>
    </row>
    <row r="445" spans="7:7" x14ac:dyDescent="0.25">
      <c r="G445" s="1"/>
    </row>
    <row r="446" spans="7:7" x14ac:dyDescent="0.25">
      <c r="G446" s="1"/>
    </row>
    <row r="447" spans="7:7" x14ac:dyDescent="0.25">
      <c r="G447" s="1"/>
    </row>
    <row r="448" spans="7:7" x14ac:dyDescent="0.25">
      <c r="G448" s="1"/>
    </row>
    <row r="449" spans="7:7" x14ac:dyDescent="0.25">
      <c r="G449" s="1"/>
    </row>
    <row r="450" spans="7:7" x14ac:dyDescent="0.25">
      <c r="G450" s="1"/>
    </row>
    <row r="451" spans="7:7" x14ac:dyDescent="0.25">
      <c r="G451" s="1"/>
    </row>
    <row r="452" spans="7:7" x14ac:dyDescent="0.25">
      <c r="G452" s="1"/>
    </row>
    <row r="453" spans="7:7" x14ac:dyDescent="0.25">
      <c r="G453" s="1"/>
    </row>
    <row r="454" spans="7:7" x14ac:dyDescent="0.25">
      <c r="G454" s="1"/>
    </row>
    <row r="455" spans="7:7" x14ac:dyDescent="0.25">
      <c r="G455" s="1"/>
    </row>
    <row r="456" spans="7:7" x14ac:dyDescent="0.25">
      <c r="G456" s="1"/>
    </row>
    <row r="457" spans="7:7" x14ac:dyDescent="0.25">
      <c r="G457" s="1"/>
    </row>
    <row r="458" spans="7:7" x14ac:dyDescent="0.25">
      <c r="G458" s="1"/>
    </row>
    <row r="459" spans="7:7" x14ac:dyDescent="0.25">
      <c r="G459" s="1"/>
    </row>
    <row r="460" spans="7:7" x14ac:dyDescent="0.25">
      <c r="G460" s="1"/>
    </row>
    <row r="461" spans="7:7" x14ac:dyDescent="0.25">
      <c r="G461" s="1"/>
    </row>
    <row r="462" spans="7:7" x14ac:dyDescent="0.25">
      <c r="G462" s="1"/>
    </row>
    <row r="463" spans="7:7" x14ac:dyDescent="0.25">
      <c r="G463" s="1"/>
    </row>
    <row r="464" spans="7:7" x14ac:dyDescent="0.25">
      <c r="G464" s="1"/>
    </row>
    <row r="465" spans="7:7" x14ac:dyDescent="0.25">
      <c r="G465" s="1"/>
    </row>
    <row r="466" spans="7:7" x14ac:dyDescent="0.25">
      <c r="G466" s="1"/>
    </row>
    <row r="467" spans="7:7" x14ac:dyDescent="0.25">
      <c r="G467" s="1"/>
    </row>
    <row r="468" spans="7:7" x14ac:dyDescent="0.25">
      <c r="G468" s="1"/>
    </row>
    <row r="469" spans="7:7" x14ac:dyDescent="0.25">
      <c r="G469" s="1"/>
    </row>
    <row r="470" spans="7:7" x14ac:dyDescent="0.25">
      <c r="G470" s="1"/>
    </row>
    <row r="471" spans="7:7" x14ac:dyDescent="0.25">
      <c r="G471" s="1"/>
    </row>
    <row r="472" spans="7:7" x14ac:dyDescent="0.25">
      <c r="G472" s="1"/>
    </row>
    <row r="473" spans="7:7" x14ac:dyDescent="0.25">
      <c r="G473" s="1"/>
    </row>
    <row r="474" spans="7:7" x14ac:dyDescent="0.25">
      <c r="G474" s="1"/>
    </row>
    <row r="475" spans="7:7" x14ac:dyDescent="0.25">
      <c r="G475" s="1"/>
    </row>
    <row r="476" spans="7:7" x14ac:dyDescent="0.25">
      <c r="G476" s="1"/>
    </row>
    <row r="477" spans="7:7" x14ac:dyDescent="0.25">
      <c r="G477" s="1"/>
    </row>
    <row r="478" spans="7:7" x14ac:dyDescent="0.25">
      <c r="G478" s="1"/>
    </row>
    <row r="479" spans="7:7" x14ac:dyDescent="0.25">
      <c r="G479" s="1"/>
    </row>
    <row r="480" spans="7:7" x14ac:dyDescent="0.25">
      <c r="G480" s="1"/>
    </row>
    <row r="481" spans="7:7" x14ac:dyDescent="0.25">
      <c r="G481" s="1"/>
    </row>
    <row r="482" spans="7:7" x14ac:dyDescent="0.25">
      <c r="G482" s="1"/>
    </row>
    <row r="483" spans="7:7" x14ac:dyDescent="0.25">
      <c r="G483" s="1"/>
    </row>
    <row r="484" spans="7:7" x14ac:dyDescent="0.25">
      <c r="G484" s="1"/>
    </row>
    <row r="485" spans="7:7" x14ac:dyDescent="0.25">
      <c r="G485" s="1"/>
    </row>
    <row r="486" spans="7:7" x14ac:dyDescent="0.25">
      <c r="G486" s="1"/>
    </row>
    <row r="487" spans="7:7" x14ac:dyDescent="0.25">
      <c r="G487" s="1"/>
    </row>
    <row r="488" spans="7:7" x14ac:dyDescent="0.25">
      <c r="G488" s="1"/>
    </row>
    <row r="489" spans="7:7" x14ac:dyDescent="0.25">
      <c r="G489" s="1"/>
    </row>
    <row r="490" spans="7:7" x14ac:dyDescent="0.25">
      <c r="G490" s="1"/>
    </row>
    <row r="491" spans="7:7" x14ac:dyDescent="0.25">
      <c r="G491" s="1"/>
    </row>
    <row r="492" spans="7:7" x14ac:dyDescent="0.25">
      <c r="G492" s="1"/>
    </row>
    <row r="493" spans="7:7" x14ac:dyDescent="0.25">
      <c r="G493" s="1"/>
    </row>
    <row r="494" spans="7:7" x14ac:dyDescent="0.25">
      <c r="G494" s="1"/>
    </row>
    <row r="495" spans="7:7" x14ac:dyDescent="0.25">
      <c r="G495" s="1"/>
    </row>
    <row r="496" spans="7:7" x14ac:dyDescent="0.25">
      <c r="G496" s="1"/>
    </row>
    <row r="497" spans="7:7" x14ac:dyDescent="0.25">
      <c r="G497" s="1"/>
    </row>
    <row r="498" spans="7:7" x14ac:dyDescent="0.25">
      <c r="G498" s="1"/>
    </row>
    <row r="499" spans="7:7" x14ac:dyDescent="0.25">
      <c r="G499" s="1"/>
    </row>
    <row r="500" spans="7:7" x14ac:dyDescent="0.25">
      <c r="G500" s="1"/>
    </row>
    <row r="501" spans="7:7" x14ac:dyDescent="0.25">
      <c r="G501" s="1"/>
    </row>
    <row r="502" spans="7:7" x14ac:dyDescent="0.25">
      <c r="G502" s="1"/>
    </row>
    <row r="503" spans="7:7" x14ac:dyDescent="0.25">
      <c r="G503" s="1"/>
    </row>
    <row r="504" spans="7:7" x14ac:dyDescent="0.25">
      <c r="G504" s="1"/>
    </row>
    <row r="505" spans="7:7" x14ac:dyDescent="0.25">
      <c r="G505" s="1"/>
    </row>
    <row r="506" spans="7:7" x14ac:dyDescent="0.25">
      <c r="G506" s="1"/>
    </row>
    <row r="507" spans="7:7" x14ac:dyDescent="0.25">
      <c r="G507" s="1"/>
    </row>
    <row r="508" spans="7:7" x14ac:dyDescent="0.25">
      <c r="G508" s="1"/>
    </row>
    <row r="509" spans="7:7" x14ac:dyDescent="0.25">
      <c r="G509" s="1"/>
    </row>
    <row r="510" spans="7:7" x14ac:dyDescent="0.25">
      <c r="G510" s="1"/>
    </row>
    <row r="511" spans="7:7" x14ac:dyDescent="0.25">
      <c r="G511" s="1"/>
    </row>
    <row r="512" spans="7:7" x14ac:dyDescent="0.25">
      <c r="G512" s="1"/>
    </row>
    <row r="513" spans="7:7" x14ac:dyDescent="0.25">
      <c r="G513" s="1"/>
    </row>
    <row r="514" spans="7:7" x14ac:dyDescent="0.25">
      <c r="G514" s="1"/>
    </row>
    <row r="515" spans="7:7" x14ac:dyDescent="0.25">
      <c r="G515" s="1"/>
    </row>
    <row r="516" spans="7:7" x14ac:dyDescent="0.25">
      <c r="G516" s="1"/>
    </row>
    <row r="517" spans="7:7" x14ac:dyDescent="0.25">
      <c r="G517" s="1"/>
    </row>
    <row r="518" spans="7:7" x14ac:dyDescent="0.25">
      <c r="G518" s="1"/>
    </row>
    <row r="519" spans="7:7" x14ac:dyDescent="0.25">
      <c r="G519" s="1"/>
    </row>
    <row r="520" spans="7:7" x14ac:dyDescent="0.25">
      <c r="G520" s="1"/>
    </row>
    <row r="521" spans="7:7" x14ac:dyDescent="0.25">
      <c r="G521" s="1"/>
    </row>
    <row r="522" spans="7:7" x14ac:dyDescent="0.25">
      <c r="G522" s="1"/>
    </row>
    <row r="523" spans="7:7" x14ac:dyDescent="0.25">
      <c r="G523" s="1"/>
    </row>
    <row r="524" spans="7:7" x14ac:dyDescent="0.25">
      <c r="G524" s="1"/>
    </row>
    <row r="525" spans="7:7" x14ac:dyDescent="0.25">
      <c r="G525" s="1"/>
    </row>
    <row r="526" spans="7:7" x14ac:dyDescent="0.25">
      <c r="G526" s="1"/>
    </row>
    <row r="527" spans="7:7" x14ac:dyDescent="0.25">
      <c r="G527" s="1"/>
    </row>
    <row r="528" spans="7:7" x14ac:dyDescent="0.25">
      <c r="G528" s="1"/>
    </row>
    <row r="529" spans="7:7" x14ac:dyDescent="0.25">
      <c r="G529" s="1"/>
    </row>
    <row r="530" spans="7:7" x14ac:dyDescent="0.25">
      <c r="G530" s="1"/>
    </row>
    <row r="531" spans="7:7" x14ac:dyDescent="0.25">
      <c r="G531" s="1"/>
    </row>
    <row r="532" spans="7:7" x14ac:dyDescent="0.25">
      <c r="G532" s="1"/>
    </row>
    <row r="533" spans="7:7" x14ac:dyDescent="0.25">
      <c r="G533" s="1"/>
    </row>
    <row r="534" spans="7:7" x14ac:dyDescent="0.25">
      <c r="G534" s="1"/>
    </row>
    <row r="535" spans="7:7" x14ac:dyDescent="0.25">
      <c r="G535" s="1"/>
    </row>
    <row r="536" spans="7:7" x14ac:dyDescent="0.25">
      <c r="G536" s="1"/>
    </row>
    <row r="537" spans="7:7" x14ac:dyDescent="0.25">
      <c r="G537" s="1"/>
    </row>
    <row r="538" spans="7:7" x14ac:dyDescent="0.25">
      <c r="G538" s="1"/>
    </row>
    <row r="539" spans="7:7" x14ac:dyDescent="0.25">
      <c r="G539" s="1"/>
    </row>
    <row r="540" spans="7:7" x14ac:dyDescent="0.25">
      <c r="G540" s="1"/>
    </row>
    <row r="541" spans="7:7" x14ac:dyDescent="0.25">
      <c r="G541" s="1"/>
    </row>
    <row r="542" spans="7:7" x14ac:dyDescent="0.25">
      <c r="G542" s="1"/>
    </row>
    <row r="543" spans="7:7" x14ac:dyDescent="0.25">
      <c r="G543" s="1"/>
    </row>
    <row r="544" spans="7:7" x14ac:dyDescent="0.25">
      <c r="G544" s="1"/>
    </row>
    <row r="545" spans="7:7" x14ac:dyDescent="0.25">
      <c r="G545" s="1"/>
    </row>
    <row r="546" spans="7:7" x14ac:dyDescent="0.25">
      <c r="G546" s="1"/>
    </row>
    <row r="547" spans="7:7" x14ac:dyDescent="0.25">
      <c r="G547" s="1"/>
    </row>
    <row r="548" spans="7:7" x14ac:dyDescent="0.25">
      <c r="G548" s="1"/>
    </row>
    <row r="549" spans="7:7" x14ac:dyDescent="0.25">
      <c r="G549" s="1"/>
    </row>
    <row r="550" spans="7:7" x14ac:dyDescent="0.25">
      <c r="G550" s="1"/>
    </row>
    <row r="551" spans="7:7" x14ac:dyDescent="0.25">
      <c r="G551" s="1"/>
    </row>
    <row r="552" spans="7:7" x14ac:dyDescent="0.25">
      <c r="G552" s="1"/>
    </row>
    <row r="553" spans="7:7" x14ac:dyDescent="0.25">
      <c r="G553" s="1"/>
    </row>
    <row r="554" spans="7:7" x14ac:dyDescent="0.25">
      <c r="G554" s="1"/>
    </row>
    <row r="555" spans="7:7" x14ac:dyDescent="0.25">
      <c r="G555" s="1"/>
    </row>
    <row r="556" spans="7:7" x14ac:dyDescent="0.25">
      <c r="G556" s="1"/>
    </row>
    <row r="557" spans="7:7" x14ac:dyDescent="0.25">
      <c r="G557" s="1"/>
    </row>
    <row r="558" spans="7:7" x14ac:dyDescent="0.25">
      <c r="G558" s="1"/>
    </row>
    <row r="559" spans="7:7" x14ac:dyDescent="0.25">
      <c r="G559" s="1"/>
    </row>
    <row r="560" spans="7:7" x14ac:dyDescent="0.25">
      <c r="G560" s="1"/>
    </row>
    <row r="561" spans="7:7" x14ac:dyDescent="0.25">
      <c r="G561" s="1"/>
    </row>
    <row r="562" spans="7:7" x14ac:dyDescent="0.25">
      <c r="G562" s="1"/>
    </row>
    <row r="563" spans="7:7" x14ac:dyDescent="0.25">
      <c r="G563" s="1"/>
    </row>
    <row r="564" spans="7:7" x14ac:dyDescent="0.25">
      <c r="G564" s="1"/>
    </row>
    <row r="565" spans="7:7" x14ac:dyDescent="0.25">
      <c r="G565" s="1"/>
    </row>
    <row r="566" spans="7:7" x14ac:dyDescent="0.25">
      <c r="G566" s="1"/>
    </row>
    <row r="567" spans="7:7" x14ac:dyDescent="0.25">
      <c r="G567" s="1"/>
    </row>
    <row r="568" spans="7:7" x14ac:dyDescent="0.25">
      <c r="G568" s="1"/>
    </row>
    <row r="569" spans="7:7" x14ac:dyDescent="0.25">
      <c r="G569" s="1"/>
    </row>
    <row r="570" spans="7:7" x14ac:dyDescent="0.25">
      <c r="G570" s="1"/>
    </row>
    <row r="571" spans="7:7" x14ac:dyDescent="0.25">
      <c r="G571" s="1"/>
    </row>
    <row r="572" spans="7:7" x14ac:dyDescent="0.25">
      <c r="G572" s="1"/>
    </row>
    <row r="573" spans="7:7" x14ac:dyDescent="0.25">
      <c r="G573" s="1"/>
    </row>
    <row r="574" spans="7:7" x14ac:dyDescent="0.25">
      <c r="G574" s="1"/>
    </row>
    <row r="575" spans="7:7" x14ac:dyDescent="0.25">
      <c r="G575" s="1"/>
    </row>
    <row r="576" spans="7:7" x14ac:dyDescent="0.25">
      <c r="G576" s="1"/>
    </row>
    <row r="577" spans="7:7" x14ac:dyDescent="0.25">
      <c r="G577" s="1"/>
    </row>
    <row r="578" spans="7:7" x14ac:dyDescent="0.25">
      <c r="G578" s="1"/>
    </row>
    <row r="579" spans="7:7" x14ac:dyDescent="0.25">
      <c r="G579" s="1"/>
    </row>
    <row r="580" spans="7:7" x14ac:dyDescent="0.25">
      <c r="G580" s="1"/>
    </row>
    <row r="581" spans="7:7" x14ac:dyDescent="0.25">
      <c r="G581" s="1"/>
    </row>
    <row r="582" spans="7:7" x14ac:dyDescent="0.25">
      <c r="G582" s="1"/>
    </row>
    <row r="583" spans="7:7" x14ac:dyDescent="0.25">
      <c r="G583" s="1"/>
    </row>
    <row r="584" spans="7:7" x14ac:dyDescent="0.25">
      <c r="G584" s="1"/>
    </row>
    <row r="585" spans="7:7" x14ac:dyDescent="0.25">
      <c r="G585" s="1"/>
    </row>
    <row r="586" spans="7:7" x14ac:dyDescent="0.25">
      <c r="G586" s="1"/>
    </row>
    <row r="587" spans="7:7" x14ac:dyDescent="0.25">
      <c r="G587" s="1"/>
    </row>
    <row r="588" spans="7:7" x14ac:dyDescent="0.25">
      <c r="G588" s="1"/>
    </row>
    <row r="589" spans="7:7" x14ac:dyDescent="0.25">
      <c r="G589" s="1"/>
    </row>
    <row r="590" spans="7:7" x14ac:dyDescent="0.25">
      <c r="G590" s="1"/>
    </row>
    <row r="591" spans="7:7" x14ac:dyDescent="0.25">
      <c r="G591" s="1"/>
    </row>
    <row r="592" spans="7:7" x14ac:dyDescent="0.25">
      <c r="G592" s="1"/>
    </row>
    <row r="593" spans="7:7" x14ac:dyDescent="0.25">
      <c r="G593" s="1"/>
    </row>
    <row r="594" spans="7:7" x14ac:dyDescent="0.25">
      <c r="G594" s="1"/>
    </row>
    <row r="595" spans="7:7" x14ac:dyDescent="0.25">
      <c r="G595" s="1"/>
    </row>
    <row r="596" spans="7:7" x14ac:dyDescent="0.25">
      <c r="G596" s="1"/>
    </row>
    <row r="597" spans="7:7" x14ac:dyDescent="0.25">
      <c r="G597" s="1"/>
    </row>
    <row r="598" spans="7:7" x14ac:dyDescent="0.25">
      <c r="G598" s="1"/>
    </row>
    <row r="599" spans="7:7" x14ac:dyDescent="0.25">
      <c r="G599" s="1"/>
    </row>
    <row r="600" spans="7:7" x14ac:dyDescent="0.25">
      <c r="G600" s="1"/>
    </row>
    <row r="601" spans="7:7" x14ac:dyDescent="0.25">
      <c r="G601" s="1"/>
    </row>
    <row r="602" spans="7:7" x14ac:dyDescent="0.25">
      <c r="G602" s="1"/>
    </row>
    <row r="603" spans="7:7" x14ac:dyDescent="0.25">
      <c r="G603" s="1"/>
    </row>
    <row r="604" spans="7:7" x14ac:dyDescent="0.25">
      <c r="G604" s="1"/>
    </row>
    <row r="605" spans="7:7" x14ac:dyDescent="0.25">
      <c r="G605" s="1"/>
    </row>
    <row r="606" spans="7:7" x14ac:dyDescent="0.25">
      <c r="G606" s="1"/>
    </row>
    <row r="607" spans="7:7" x14ac:dyDescent="0.25">
      <c r="G607" s="1"/>
    </row>
    <row r="608" spans="7:7" x14ac:dyDescent="0.25">
      <c r="G608" s="1"/>
    </row>
    <row r="609" spans="7:7" x14ac:dyDescent="0.25">
      <c r="G609" s="1"/>
    </row>
    <row r="610" spans="7:7" x14ac:dyDescent="0.25">
      <c r="G610" s="1"/>
    </row>
    <row r="611" spans="7:7" x14ac:dyDescent="0.25">
      <c r="G611" s="1"/>
    </row>
    <row r="612" spans="7:7" x14ac:dyDescent="0.25">
      <c r="G612" s="1"/>
    </row>
    <row r="613" spans="7:7" x14ac:dyDescent="0.25">
      <c r="G613" s="1"/>
    </row>
    <row r="614" spans="7:7" x14ac:dyDescent="0.25">
      <c r="G614" s="1"/>
    </row>
    <row r="615" spans="7:7" x14ac:dyDescent="0.25">
      <c r="G615" s="1"/>
    </row>
    <row r="616" spans="7:7" x14ac:dyDescent="0.25">
      <c r="G616" s="1"/>
    </row>
    <row r="617" spans="7:7" x14ac:dyDescent="0.25">
      <c r="G617" s="1"/>
    </row>
    <row r="618" spans="7:7" x14ac:dyDescent="0.25">
      <c r="G618" s="1"/>
    </row>
    <row r="619" spans="7:7" x14ac:dyDescent="0.25">
      <c r="G619" s="1"/>
    </row>
    <row r="620" spans="7:7" x14ac:dyDescent="0.25">
      <c r="G620" s="1"/>
    </row>
    <row r="621" spans="7:7" x14ac:dyDescent="0.25">
      <c r="G621" s="1"/>
    </row>
    <row r="622" spans="7:7" x14ac:dyDescent="0.25">
      <c r="G622" s="1"/>
    </row>
    <row r="623" spans="7:7" x14ac:dyDescent="0.25">
      <c r="G623" s="1"/>
    </row>
    <row r="624" spans="7:7" x14ac:dyDescent="0.25">
      <c r="G624" s="1"/>
    </row>
    <row r="625" spans="7:7" x14ac:dyDescent="0.25">
      <c r="G625" s="1"/>
    </row>
    <row r="626" spans="7:7" x14ac:dyDescent="0.25">
      <c r="G626" s="1"/>
    </row>
    <row r="627" spans="7:7" x14ac:dyDescent="0.25">
      <c r="G627" s="1"/>
    </row>
    <row r="628" spans="7:7" x14ac:dyDescent="0.25">
      <c r="G628" s="1"/>
    </row>
    <row r="629" spans="7:7" x14ac:dyDescent="0.25">
      <c r="G629" s="1"/>
    </row>
    <row r="630" spans="7:7" x14ac:dyDescent="0.25">
      <c r="G630" s="1"/>
    </row>
    <row r="631" spans="7:7" x14ac:dyDescent="0.25">
      <c r="G631" s="1"/>
    </row>
    <row r="632" spans="7:7" x14ac:dyDescent="0.25">
      <c r="G632" s="1"/>
    </row>
    <row r="633" spans="7:7" x14ac:dyDescent="0.25">
      <c r="G633" s="1"/>
    </row>
    <row r="634" spans="7:7" x14ac:dyDescent="0.25">
      <c r="G634" s="1"/>
    </row>
    <row r="635" spans="7:7" x14ac:dyDescent="0.25">
      <c r="G635" s="1"/>
    </row>
    <row r="636" spans="7:7" x14ac:dyDescent="0.25">
      <c r="G636" s="1"/>
    </row>
    <row r="637" spans="7:7" x14ac:dyDescent="0.25">
      <c r="G637" s="1"/>
    </row>
    <row r="638" spans="7:7" x14ac:dyDescent="0.25">
      <c r="G638" s="1"/>
    </row>
    <row r="639" spans="7:7" x14ac:dyDescent="0.25">
      <c r="G639" s="1"/>
    </row>
    <row r="640" spans="7:7" x14ac:dyDescent="0.25">
      <c r="G640" s="1"/>
    </row>
    <row r="641" spans="7:7" x14ac:dyDescent="0.25">
      <c r="G641" s="1"/>
    </row>
    <row r="642" spans="7:7" x14ac:dyDescent="0.25">
      <c r="G642" s="1"/>
    </row>
    <row r="643" spans="7:7" x14ac:dyDescent="0.25">
      <c r="G643" s="1"/>
    </row>
    <row r="644" spans="7:7" x14ac:dyDescent="0.25">
      <c r="G644" s="1"/>
    </row>
    <row r="645" spans="7:7" x14ac:dyDescent="0.25">
      <c r="G645" s="1"/>
    </row>
    <row r="646" spans="7:7" x14ac:dyDescent="0.25">
      <c r="G646" s="1"/>
    </row>
    <row r="647" spans="7:7" x14ac:dyDescent="0.25">
      <c r="G647" s="1"/>
    </row>
    <row r="648" spans="7:7" x14ac:dyDescent="0.25">
      <c r="G648" s="1"/>
    </row>
    <row r="649" spans="7:7" x14ac:dyDescent="0.25">
      <c r="G649" s="1"/>
    </row>
    <row r="650" spans="7:7" x14ac:dyDescent="0.25">
      <c r="G650" s="1"/>
    </row>
    <row r="651" spans="7:7" x14ac:dyDescent="0.25">
      <c r="G651" s="1"/>
    </row>
    <row r="652" spans="7:7" x14ac:dyDescent="0.25">
      <c r="G652" s="1"/>
    </row>
    <row r="653" spans="7:7" x14ac:dyDescent="0.25">
      <c r="G653" s="1"/>
    </row>
    <row r="654" spans="7:7" x14ac:dyDescent="0.25">
      <c r="G654" s="1"/>
    </row>
    <row r="655" spans="7:7" x14ac:dyDescent="0.25">
      <c r="G655" s="1"/>
    </row>
    <row r="656" spans="7:7" x14ac:dyDescent="0.25">
      <c r="G656" s="1"/>
    </row>
    <row r="657" spans="7:7" x14ac:dyDescent="0.25">
      <c r="G657" s="1"/>
    </row>
    <row r="658" spans="7:7" x14ac:dyDescent="0.25">
      <c r="G658" s="1"/>
    </row>
    <row r="659" spans="7:7" x14ac:dyDescent="0.25">
      <c r="G659" s="1"/>
    </row>
    <row r="660" spans="7:7" x14ac:dyDescent="0.25">
      <c r="G660" s="1"/>
    </row>
    <row r="661" spans="7:7" x14ac:dyDescent="0.25">
      <c r="G661" s="1"/>
    </row>
    <row r="662" spans="7:7" x14ac:dyDescent="0.25">
      <c r="G662" s="1"/>
    </row>
    <row r="663" spans="7:7" x14ac:dyDescent="0.25">
      <c r="G663" s="1"/>
    </row>
    <row r="664" spans="7:7" x14ac:dyDescent="0.25">
      <c r="G664" s="1"/>
    </row>
    <row r="665" spans="7:7" x14ac:dyDescent="0.25">
      <c r="G665" s="1"/>
    </row>
    <row r="666" spans="7:7" x14ac:dyDescent="0.25">
      <c r="G666" s="1"/>
    </row>
    <row r="667" spans="7:7" x14ac:dyDescent="0.25">
      <c r="G667" s="1"/>
    </row>
    <row r="668" spans="7:7" x14ac:dyDescent="0.25">
      <c r="G668" s="1"/>
    </row>
    <row r="669" spans="7:7" x14ac:dyDescent="0.25">
      <c r="G669" s="1"/>
    </row>
    <row r="670" spans="7:7" x14ac:dyDescent="0.25">
      <c r="G670" s="1"/>
    </row>
    <row r="671" spans="7:7" x14ac:dyDescent="0.25">
      <c r="G671" s="1"/>
    </row>
    <row r="672" spans="7:7" x14ac:dyDescent="0.25">
      <c r="G672" s="1"/>
    </row>
    <row r="673" spans="7:7" x14ac:dyDescent="0.25">
      <c r="G673" s="1"/>
    </row>
    <row r="674" spans="7:7" x14ac:dyDescent="0.25">
      <c r="G674" s="1"/>
    </row>
    <row r="675" spans="7:7" x14ac:dyDescent="0.25">
      <c r="G675" s="1"/>
    </row>
    <row r="676" spans="7:7" x14ac:dyDescent="0.25">
      <c r="G676" s="1"/>
    </row>
    <row r="677" spans="7:7" x14ac:dyDescent="0.25">
      <c r="G677" s="1"/>
    </row>
    <row r="678" spans="7:7" x14ac:dyDescent="0.25">
      <c r="G678" s="1"/>
    </row>
    <row r="679" spans="7:7" x14ac:dyDescent="0.25">
      <c r="G679" s="1"/>
    </row>
    <row r="680" spans="7:7" x14ac:dyDescent="0.25">
      <c r="G680" s="1"/>
    </row>
    <row r="681" spans="7:7" x14ac:dyDescent="0.25">
      <c r="G681" s="1"/>
    </row>
    <row r="682" spans="7:7" x14ac:dyDescent="0.25">
      <c r="G682" s="1"/>
    </row>
    <row r="683" spans="7:7" x14ac:dyDescent="0.25">
      <c r="G683" s="1"/>
    </row>
    <row r="684" spans="7:7" x14ac:dyDescent="0.25">
      <c r="G684" s="1"/>
    </row>
    <row r="685" spans="7:7" x14ac:dyDescent="0.25">
      <c r="G685" s="1"/>
    </row>
    <row r="686" spans="7:7" x14ac:dyDescent="0.25">
      <c r="G686" s="1"/>
    </row>
    <row r="687" spans="7:7" x14ac:dyDescent="0.25">
      <c r="G687" s="1"/>
    </row>
    <row r="688" spans="7:7" x14ac:dyDescent="0.25">
      <c r="G688" s="1"/>
    </row>
    <row r="689" spans="7:7" x14ac:dyDescent="0.25">
      <c r="G689" s="1"/>
    </row>
    <row r="690" spans="7:7" x14ac:dyDescent="0.25">
      <c r="G690" s="1"/>
    </row>
    <row r="691" spans="7:7" x14ac:dyDescent="0.25">
      <c r="G691" s="1"/>
    </row>
    <row r="692" spans="7:7" x14ac:dyDescent="0.25">
      <c r="G692" s="1"/>
    </row>
    <row r="693" spans="7:7" x14ac:dyDescent="0.25">
      <c r="G693" s="1"/>
    </row>
    <row r="694" spans="7:7" x14ac:dyDescent="0.25">
      <c r="G694" s="1"/>
    </row>
    <row r="695" spans="7:7" x14ac:dyDescent="0.25">
      <c r="G695" s="1"/>
    </row>
    <row r="696" spans="7:7" x14ac:dyDescent="0.25">
      <c r="G696" s="1"/>
    </row>
    <row r="697" spans="7:7" x14ac:dyDescent="0.25">
      <c r="G697" s="1"/>
    </row>
    <row r="698" spans="7:7" x14ac:dyDescent="0.25">
      <c r="G698" s="1"/>
    </row>
    <row r="699" spans="7:7" x14ac:dyDescent="0.25">
      <c r="G699" s="1"/>
    </row>
    <row r="700" spans="7:7" x14ac:dyDescent="0.25">
      <c r="G700" s="1"/>
    </row>
    <row r="701" spans="7:7" x14ac:dyDescent="0.25">
      <c r="G701" s="1"/>
    </row>
    <row r="702" spans="7:7" x14ac:dyDescent="0.25">
      <c r="G702" s="1"/>
    </row>
    <row r="703" spans="7:7" x14ac:dyDescent="0.25">
      <c r="G703" s="1"/>
    </row>
    <row r="704" spans="7:7" x14ac:dyDescent="0.25">
      <c r="G704" s="1"/>
    </row>
    <row r="705" spans="7:7" x14ac:dyDescent="0.25">
      <c r="G705" s="1"/>
    </row>
    <row r="706" spans="7:7" x14ac:dyDescent="0.25">
      <c r="G706" s="1"/>
    </row>
    <row r="707" spans="7:7" x14ac:dyDescent="0.25">
      <c r="G707" s="1"/>
    </row>
    <row r="708" spans="7:7" x14ac:dyDescent="0.25">
      <c r="G708" s="1"/>
    </row>
    <row r="709" spans="7:7" x14ac:dyDescent="0.25">
      <c r="G709" s="1"/>
    </row>
    <row r="710" spans="7:7" x14ac:dyDescent="0.25">
      <c r="G710" s="1"/>
    </row>
    <row r="711" spans="7:7" x14ac:dyDescent="0.25">
      <c r="G711" s="1"/>
    </row>
    <row r="712" spans="7:7" x14ac:dyDescent="0.25">
      <c r="G712" s="1"/>
    </row>
    <row r="713" spans="7:7" x14ac:dyDescent="0.25">
      <c r="G713" s="1"/>
    </row>
    <row r="714" spans="7:7" x14ac:dyDescent="0.25">
      <c r="G714" s="1"/>
    </row>
    <row r="715" spans="7:7" x14ac:dyDescent="0.25">
      <c r="G715" s="1"/>
    </row>
    <row r="716" spans="7:7" x14ac:dyDescent="0.25">
      <c r="G716" s="1"/>
    </row>
    <row r="717" spans="7:7" x14ac:dyDescent="0.25">
      <c r="G717" s="1"/>
    </row>
    <row r="718" spans="7:7" x14ac:dyDescent="0.25">
      <c r="G718" s="1"/>
    </row>
    <row r="719" spans="7:7" x14ac:dyDescent="0.25">
      <c r="G719" s="1"/>
    </row>
    <row r="720" spans="7:7" x14ac:dyDescent="0.25">
      <c r="G720" s="1"/>
    </row>
    <row r="721" spans="7:7" x14ac:dyDescent="0.25">
      <c r="G721" s="1"/>
    </row>
    <row r="722" spans="7:7" x14ac:dyDescent="0.25">
      <c r="G722" s="1"/>
    </row>
    <row r="723" spans="7:7" x14ac:dyDescent="0.25">
      <c r="G723" s="1"/>
    </row>
    <row r="724" spans="7:7" x14ac:dyDescent="0.25">
      <c r="G724" s="1"/>
    </row>
    <row r="725" spans="7:7" x14ac:dyDescent="0.25">
      <c r="G725" s="1"/>
    </row>
    <row r="726" spans="7:7" x14ac:dyDescent="0.25">
      <c r="G726" s="1"/>
    </row>
    <row r="727" spans="7:7" x14ac:dyDescent="0.25">
      <c r="G727" s="1"/>
    </row>
    <row r="728" spans="7:7" x14ac:dyDescent="0.25">
      <c r="G728" s="1"/>
    </row>
    <row r="729" spans="7:7" x14ac:dyDescent="0.25">
      <c r="G729" s="1"/>
    </row>
    <row r="730" spans="7:7" x14ac:dyDescent="0.25">
      <c r="G730" s="1"/>
    </row>
    <row r="731" spans="7:7" x14ac:dyDescent="0.25">
      <c r="G731" s="1"/>
    </row>
    <row r="732" spans="7:7" x14ac:dyDescent="0.25">
      <c r="G732" s="1"/>
    </row>
    <row r="733" spans="7:7" x14ac:dyDescent="0.25">
      <c r="G733" s="1"/>
    </row>
    <row r="734" spans="7:7" x14ac:dyDescent="0.25">
      <c r="G734" s="1"/>
    </row>
    <row r="735" spans="7:7" x14ac:dyDescent="0.25">
      <c r="G735" s="1"/>
    </row>
    <row r="736" spans="7:7" x14ac:dyDescent="0.25">
      <c r="G736" s="1"/>
    </row>
    <row r="737" spans="7:7" x14ac:dyDescent="0.25">
      <c r="G737" s="1"/>
    </row>
    <row r="738" spans="7:7" x14ac:dyDescent="0.25">
      <c r="G738" s="1"/>
    </row>
    <row r="739" spans="7:7" x14ac:dyDescent="0.25">
      <c r="G739" s="1"/>
    </row>
    <row r="740" spans="7:7" x14ac:dyDescent="0.25">
      <c r="G740" s="1"/>
    </row>
    <row r="741" spans="7:7" x14ac:dyDescent="0.25">
      <c r="G741" s="1"/>
    </row>
    <row r="742" spans="7:7" x14ac:dyDescent="0.25">
      <c r="G742" s="1"/>
    </row>
    <row r="743" spans="7:7" x14ac:dyDescent="0.25">
      <c r="G743" s="1"/>
    </row>
    <row r="744" spans="7:7" x14ac:dyDescent="0.25">
      <c r="G744" s="1"/>
    </row>
    <row r="745" spans="7:7" x14ac:dyDescent="0.25">
      <c r="G745" s="1"/>
    </row>
    <row r="746" spans="7:7" x14ac:dyDescent="0.25">
      <c r="G746" s="1"/>
    </row>
    <row r="747" spans="7:7" x14ac:dyDescent="0.25">
      <c r="G747" s="1"/>
    </row>
    <row r="748" spans="7:7" x14ac:dyDescent="0.25">
      <c r="G748" s="1"/>
    </row>
    <row r="749" spans="7:7" x14ac:dyDescent="0.25">
      <c r="G749" s="1"/>
    </row>
    <row r="750" spans="7:7" x14ac:dyDescent="0.25">
      <c r="G750" s="1"/>
    </row>
    <row r="751" spans="7:7" x14ac:dyDescent="0.25">
      <c r="G751" s="1"/>
    </row>
    <row r="752" spans="7:7" x14ac:dyDescent="0.25">
      <c r="G752" s="1"/>
    </row>
    <row r="753" spans="7:7" x14ac:dyDescent="0.25">
      <c r="G753" s="1"/>
    </row>
    <row r="754" spans="7:7" x14ac:dyDescent="0.25">
      <c r="G754" s="1"/>
    </row>
    <row r="755" spans="7:7" x14ac:dyDescent="0.25">
      <c r="G755" s="1"/>
    </row>
    <row r="756" spans="7:7" x14ac:dyDescent="0.25">
      <c r="G756" s="1"/>
    </row>
    <row r="757" spans="7:7" x14ac:dyDescent="0.25">
      <c r="G757" s="1"/>
    </row>
    <row r="758" spans="7:7" x14ac:dyDescent="0.25">
      <c r="G758" s="1"/>
    </row>
    <row r="759" spans="7:7" x14ac:dyDescent="0.25">
      <c r="G759" s="1"/>
    </row>
    <row r="760" spans="7:7" x14ac:dyDescent="0.25">
      <c r="G760" s="1"/>
    </row>
    <row r="761" spans="7:7" x14ac:dyDescent="0.25">
      <c r="G761" s="1"/>
    </row>
    <row r="762" spans="7:7" x14ac:dyDescent="0.25">
      <c r="G762" s="1"/>
    </row>
    <row r="763" spans="7:7" x14ac:dyDescent="0.25">
      <c r="G763" s="1"/>
    </row>
    <row r="764" spans="7:7" x14ac:dyDescent="0.25">
      <c r="G764" s="1"/>
    </row>
    <row r="765" spans="7:7" x14ac:dyDescent="0.25">
      <c r="G765" s="1"/>
    </row>
    <row r="766" spans="7:7" x14ac:dyDescent="0.25">
      <c r="G766" s="1"/>
    </row>
    <row r="767" spans="7:7" x14ac:dyDescent="0.25">
      <c r="G767" s="1"/>
    </row>
    <row r="768" spans="7:7" x14ac:dyDescent="0.25">
      <c r="G768" s="1"/>
    </row>
    <row r="769" spans="7:7" x14ac:dyDescent="0.25">
      <c r="G769" s="1"/>
    </row>
    <row r="770" spans="7:7" x14ac:dyDescent="0.25">
      <c r="G770" s="1"/>
    </row>
    <row r="771" spans="7:7" x14ac:dyDescent="0.25">
      <c r="G771" s="1"/>
    </row>
    <row r="772" spans="7:7" x14ac:dyDescent="0.25">
      <c r="G772" s="1"/>
    </row>
    <row r="773" spans="7:7" x14ac:dyDescent="0.25">
      <c r="G773" s="1"/>
    </row>
    <row r="774" spans="7:7" x14ac:dyDescent="0.25">
      <c r="G774" s="1"/>
    </row>
    <row r="775" spans="7:7" x14ac:dyDescent="0.25">
      <c r="G775" s="1"/>
    </row>
    <row r="776" spans="7:7" x14ac:dyDescent="0.25">
      <c r="G776" s="1"/>
    </row>
    <row r="777" spans="7:7" x14ac:dyDescent="0.25">
      <c r="G777" s="1"/>
    </row>
    <row r="778" spans="7:7" x14ac:dyDescent="0.25">
      <c r="G778" s="1"/>
    </row>
    <row r="779" spans="7:7" x14ac:dyDescent="0.25">
      <c r="G779" s="1"/>
    </row>
    <row r="780" spans="7:7" x14ac:dyDescent="0.25">
      <c r="G780" s="1"/>
    </row>
    <row r="781" spans="7:7" x14ac:dyDescent="0.25">
      <c r="G781" s="1"/>
    </row>
    <row r="782" spans="7:7" x14ac:dyDescent="0.25">
      <c r="G782" s="1"/>
    </row>
    <row r="783" spans="7:7" x14ac:dyDescent="0.25">
      <c r="G783" s="1"/>
    </row>
    <row r="784" spans="7:7" x14ac:dyDescent="0.25">
      <c r="G784" s="1"/>
    </row>
    <row r="785" spans="7:7" x14ac:dyDescent="0.25">
      <c r="G785" s="1"/>
    </row>
    <row r="786" spans="7:7" x14ac:dyDescent="0.25">
      <c r="G786" s="1"/>
    </row>
    <row r="787" spans="7:7" x14ac:dyDescent="0.25">
      <c r="G787" s="1"/>
    </row>
    <row r="788" spans="7:7" x14ac:dyDescent="0.25">
      <c r="G788" s="1"/>
    </row>
    <row r="789" spans="7:7" x14ac:dyDescent="0.25">
      <c r="G789" s="1"/>
    </row>
    <row r="790" spans="7:7" x14ac:dyDescent="0.25">
      <c r="G790" s="1"/>
    </row>
    <row r="791" spans="7:7" x14ac:dyDescent="0.25">
      <c r="G791" s="1"/>
    </row>
    <row r="792" spans="7:7" x14ac:dyDescent="0.25">
      <c r="G792" s="1"/>
    </row>
    <row r="793" spans="7:7" x14ac:dyDescent="0.25">
      <c r="G793" s="1"/>
    </row>
    <row r="794" spans="7:7" x14ac:dyDescent="0.25">
      <c r="G794" s="1"/>
    </row>
    <row r="795" spans="7:7" x14ac:dyDescent="0.25">
      <c r="G795" s="1"/>
    </row>
    <row r="796" spans="7:7" x14ac:dyDescent="0.25">
      <c r="G796" s="1"/>
    </row>
    <row r="797" spans="7:7" x14ac:dyDescent="0.25">
      <c r="G797" s="1"/>
    </row>
    <row r="798" spans="7:7" x14ac:dyDescent="0.25">
      <c r="G798" s="1"/>
    </row>
    <row r="799" spans="7:7" x14ac:dyDescent="0.25">
      <c r="G799" s="1"/>
    </row>
    <row r="800" spans="7:7" x14ac:dyDescent="0.25">
      <c r="G800" s="1"/>
    </row>
    <row r="801" spans="7:7" x14ac:dyDescent="0.25">
      <c r="G801" s="1"/>
    </row>
    <row r="802" spans="7:7" x14ac:dyDescent="0.25">
      <c r="G802" s="1"/>
    </row>
    <row r="803" spans="7:7" x14ac:dyDescent="0.25">
      <c r="G803" s="1"/>
    </row>
    <row r="804" spans="7:7" x14ac:dyDescent="0.25">
      <c r="G804" s="1"/>
    </row>
    <row r="805" spans="7:7" x14ac:dyDescent="0.25">
      <c r="G805" s="1"/>
    </row>
    <row r="806" spans="7:7" x14ac:dyDescent="0.25">
      <c r="G806" s="1"/>
    </row>
    <row r="807" spans="7:7" x14ac:dyDescent="0.25">
      <c r="G807" s="1"/>
    </row>
    <row r="808" spans="7:7" x14ac:dyDescent="0.25">
      <c r="G808" s="1"/>
    </row>
    <row r="809" spans="7:7" x14ac:dyDescent="0.25">
      <c r="G809" s="1"/>
    </row>
    <row r="810" spans="7:7" x14ac:dyDescent="0.25">
      <c r="G810" s="1"/>
    </row>
    <row r="811" spans="7:7" x14ac:dyDescent="0.25">
      <c r="G811" s="1"/>
    </row>
    <row r="812" spans="7:7" x14ac:dyDescent="0.25">
      <c r="G812" s="1"/>
    </row>
    <row r="813" spans="7:7" x14ac:dyDescent="0.25">
      <c r="G813" s="1"/>
    </row>
    <row r="814" spans="7:7" x14ac:dyDescent="0.25">
      <c r="G814" s="1"/>
    </row>
    <row r="815" spans="7:7" x14ac:dyDescent="0.25">
      <c r="G815" s="1"/>
    </row>
    <row r="816" spans="7:7" x14ac:dyDescent="0.25">
      <c r="G816" s="1"/>
    </row>
    <row r="817" spans="7:7" x14ac:dyDescent="0.25">
      <c r="G817" s="1"/>
    </row>
    <row r="818" spans="7:7" x14ac:dyDescent="0.25">
      <c r="G818" s="1"/>
    </row>
    <row r="819" spans="7:7" x14ac:dyDescent="0.25">
      <c r="G819" s="1"/>
    </row>
    <row r="820" spans="7:7" x14ac:dyDescent="0.25">
      <c r="G820" s="1"/>
    </row>
    <row r="821" spans="7:7" x14ac:dyDescent="0.25">
      <c r="G821" s="1"/>
    </row>
    <row r="822" spans="7:7" x14ac:dyDescent="0.25">
      <c r="G822" s="1"/>
    </row>
    <row r="823" spans="7:7" x14ac:dyDescent="0.25">
      <c r="G823" s="1"/>
    </row>
    <row r="824" spans="7:7" x14ac:dyDescent="0.25">
      <c r="G824" s="1"/>
    </row>
    <row r="825" spans="7:7" x14ac:dyDescent="0.25">
      <c r="G825" s="1"/>
    </row>
    <row r="826" spans="7:7" x14ac:dyDescent="0.25">
      <c r="G826" s="1"/>
    </row>
    <row r="827" spans="7:7" x14ac:dyDescent="0.25">
      <c r="G827" s="1"/>
    </row>
    <row r="828" spans="7:7" x14ac:dyDescent="0.25">
      <c r="G828" s="1"/>
    </row>
    <row r="829" spans="7:7" x14ac:dyDescent="0.25">
      <c r="G829" s="1"/>
    </row>
    <row r="830" spans="7:7" x14ac:dyDescent="0.25">
      <c r="G830" s="1"/>
    </row>
    <row r="831" spans="7:7" x14ac:dyDescent="0.25">
      <c r="G831" s="1"/>
    </row>
    <row r="832" spans="7:7" x14ac:dyDescent="0.25">
      <c r="G832" s="1"/>
    </row>
    <row r="833" spans="7:7" x14ac:dyDescent="0.25">
      <c r="G833" s="1"/>
    </row>
    <row r="834" spans="7:7" x14ac:dyDescent="0.25">
      <c r="G834" s="1"/>
    </row>
    <row r="835" spans="7:7" x14ac:dyDescent="0.25">
      <c r="G835" s="1"/>
    </row>
    <row r="836" spans="7:7" x14ac:dyDescent="0.25">
      <c r="G836" s="1"/>
    </row>
    <row r="837" spans="7:7" x14ac:dyDescent="0.25">
      <c r="G837" s="1"/>
    </row>
    <row r="838" spans="7:7" x14ac:dyDescent="0.25">
      <c r="G838" s="1"/>
    </row>
    <row r="839" spans="7:7" x14ac:dyDescent="0.25">
      <c r="G839" s="1"/>
    </row>
    <row r="840" spans="7:7" x14ac:dyDescent="0.25">
      <c r="G840" s="1"/>
    </row>
    <row r="841" spans="7:7" x14ac:dyDescent="0.25">
      <c r="G841" s="1"/>
    </row>
    <row r="842" spans="7:7" x14ac:dyDescent="0.25">
      <c r="G842" s="1"/>
    </row>
    <row r="843" spans="7:7" x14ac:dyDescent="0.25">
      <c r="G843" s="1"/>
    </row>
    <row r="844" spans="7:7" x14ac:dyDescent="0.25">
      <c r="G844" s="1"/>
    </row>
    <row r="845" spans="7:7" x14ac:dyDescent="0.25">
      <c r="G845" s="1"/>
    </row>
    <row r="846" spans="7:7" x14ac:dyDescent="0.25">
      <c r="G846" s="1"/>
    </row>
    <row r="847" spans="7:7" x14ac:dyDescent="0.25">
      <c r="G847" s="1"/>
    </row>
    <row r="848" spans="7:7" x14ac:dyDescent="0.25">
      <c r="G848" s="1"/>
    </row>
    <row r="849" spans="7:7" x14ac:dyDescent="0.25">
      <c r="G849" s="1"/>
    </row>
    <row r="850" spans="7:7" x14ac:dyDescent="0.25">
      <c r="G850" s="1"/>
    </row>
    <row r="851" spans="7:7" x14ac:dyDescent="0.25">
      <c r="G851" s="1"/>
    </row>
    <row r="852" spans="7:7" x14ac:dyDescent="0.25">
      <c r="G852" s="1"/>
    </row>
    <row r="853" spans="7:7" x14ac:dyDescent="0.25">
      <c r="G853" s="1"/>
    </row>
    <row r="854" spans="7:7" x14ac:dyDescent="0.25">
      <c r="G854" s="1"/>
    </row>
    <row r="855" spans="7:7" x14ac:dyDescent="0.25">
      <c r="G855" s="1"/>
    </row>
    <row r="856" spans="7:7" x14ac:dyDescent="0.25">
      <c r="G856" s="1"/>
    </row>
    <row r="857" spans="7:7" x14ac:dyDescent="0.25">
      <c r="G857" s="1"/>
    </row>
    <row r="858" spans="7:7" x14ac:dyDescent="0.25">
      <c r="G858" s="1"/>
    </row>
    <row r="859" spans="7:7" x14ac:dyDescent="0.25">
      <c r="G859" s="1"/>
    </row>
    <row r="860" spans="7:7" x14ac:dyDescent="0.25">
      <c r="G860" s="1"/>
    </row>
    <row r="861" spans="7:7" x14ac:dyDescent="0.25">
      <c r="G861" s="1"/>
    </row>
    <row r="862" spans="7:7" x14ac:dyDescent="0.25">
      <c r="G862" s="1"/>
    </row>
    <row r="863" spans="7:7" x14ac:dyDescent="0.25">
      <c r="G863" s="1"/>
    </row>
    <row r="864" spans="7:7" x14ac:dyDescent="0.25">
      <c r="G864" s="1"/>
    </row>
    <row r="865" spans="7:7" x14ac:dyDescent="0.25">
      <c r="G865" s="1"/>
    </row>
    <row r="866" spans="7:7" x14ac:dyDescent="0.25">
      <c r="G866" s="1"/>
    </row>
    <row r="867" spans="7:7" x14ac:dyDescent="0.25">
      <c r="G867" s="1"/>
    </row>
    <row r="868" spans="7:7" x14ac:dyDescent="0.25">
      <c r="G868" s="1"/>
    </row>
    <row r="869" spans="7:7" x14ac:dyDescent="0.25">
      <c r="G869" s="1"/>
    </row>
    <row r="870" spans="7:7" x14ac:dyDescent="0.25">
      <c r="G870" s="1"/>
    </row>
    <row r="871" spans="7:7" x14ac:dyDescent="0.25">
      <c r="G871" s="1"/>
    </row>
    <row r="872" spans="7:7" x14ac:dyDescent="0.25">
      <c r="G872" s="1"/>
    </row>
    <row r="873" spans="7:7" x14ac:dyDescent="0.25">
      <c r="G873" s="1"/>
    </row>
    <row r="874" spans="7:7" x14ac:dyDescent="0.25">
      <c r="G874" s="1"/>
    </row>
    <row r="875" spans="7:7" x14ac:dyDescent="0.25">
      <c r="G875" s="1"/>
    </row>
    <row r="876" spans="7:7" x14ac:dyDescent="0.25">
      <c r="G876" s="1"/>
    </row>
    <row r="877" spans="7:7" x14ac:dyDescent="0.25">
      <c r="G877" s="1"/>
    </row>
    <row r="878" spans="7:7" x14ac:dyDescent="0.25">
      <c r="G878" s="1"/>
    </row>
    <row r="879" spans="7:7" x14ac:dyDescent="0.25">
      <c r="G879" s="1"/>
    </row>
    <row r="880" spans="7:7" x14ac:dyDescent="0.25">
      <c r="G880" s="1"/>
    </row>
    <row r="881" spans="7:7" x14ac:dyDescent="0.25">
      <c r="G881" s="1"/>
    </row>
    <row r="882" spans="7:7" x14ac:dyDescent="0.25">
      <c r="G882" s="1"/>
    </row>
    <row r="883" spans="7:7" x14ac:dyDescent="0.25">
      <c r="G883" s="1"/>
    </row>
    <row r="884" spans="7:7" x14ac:dyDescent="0.25">
      <c r="G884" s="1"/>
    </row>
    <row r="885" spans="7:7" x14ac:dyDescent="0.25">
      <c r="G885" s="1"/>
    </row>
    <row r="886" spans="7:7" x14ac:dyDescent="0.25">
      <c r="G886" s="1"/>
    </row>
    <row r="887" spans="7:7" x14ac:dyDescent="0.25">
      <c r="G887" s="1"/>
    </row>
    <row r="888" spans="7:7" x14ac:dyDescent="0.25">
      <c r="G888" s="1"/>
    </row>
    <row r="889" spans="7:7" x14ac:dyDescent="0.25">
      <c r="G889" s="1"/>
    </row>
    <row r="890" spans="7:7" x14ac:dyDescent="0.25">
      <c r="G890" s="1"/>
    </row>
    <row r="891" spans="7:7" x14ac:dyDescent="0.25">
      <c r="G891" s="1"/>
    </row>
    <row r="892" spans="7:7" x14ac:dyDescent="0.25">
      <c r="G892" s="1"/>
    </row>
    <row r="893" spans="7:7" x14ac:dyDescent="0.25">
      <c r="G893" s="1"/>
    </row>
    <row r="894" spans="7:7" x14ac:dyDescent="0.25">
      <c r="G894" s="1"/>
    </row>
    <row r="895" spans="7:7" x14ac:dyDescent="0.25">
      <c r="G895" s="1"/>
    </row>
    <row r="896" spans="7:7" x14ac:dyDescent="0.25">
      <c r="G896" s="1"/>
    </row>
    <row r="897" spans="7:7" x14ac:dyDescent="0.25">
      <c r="G897" s="1"/>
    </row>
    <row r="898" spans="7:7" x14ac:dyDescent="0.25">
      <c r="G898" s="1"/>
    </row>
    <row r="899" spans="7:7" x14ac:dyDescent="0.25">
      <c r="G899" s="1"/>
    </row>
    <row r="900" spans="7:7" x14ac:dyDescent="0.25">
      <c r="G900" s="1"/>
    </row>
    <row r="901" spans="7:7" x14ac:dyDescent="0.25">
      <c r="G901" s="1"/>
    </row>
    <row r="902" spans="7:7" x14ac:dyDescent="0.25">
      <c r="G902" s="1"/>
    </row>
    <row r="903" spans="7:7" x14ac:dyDescent="0.25">
      <c r="G903" s="1"/>
    </row>
    <row r="904" spans="7:7" x14ac:dyDescent="0.25">
      <c r="G904" s="1"/>
    </row>
    <row r="905" spans="7:7" x14ac:dyDescent="0.25">
      <c r="G905" s="1"/>
    </row>
    <row r="906" spans="7:7" x14ac:dyDescent="0.25">
      <c r="G906" s="1"/>
    </row>
    <row r="907" spans="7:7" x14ac:dyDescent="0.25">
      <c r="G907" s="1"/>
    </row>
    <row r="908" spans="7:7" x14ac:dyDescent="0.25">
      <c r="G908" s="1"/>
    </row>
    <row r="909" spans="7:7" x14ac:dyDescent="0.25">
      <c r="G909" s="1"/>
    </row>
    <row r="910" spans="7:7" x14ac:dyDescent="0.25">
      <c r="G910" s="1"/>
    </row>
    <row r="911" spans="7:7" x14ac:dyDescent="0.25">
      <c r="G911" s="1"/>
    </row>
    <row r="912" spans="7:7" x14ac:dyDescent="0.25">
      <c r="G912" s="1"/>
    </row>
    <row r="913" spans="7:7" x14ac:dyDescent="0.25">
      <c r="G913" s="1"/>
    </row>
    <row r="914" spans="7:7" x14ac:dyDescent="0.25">
      <c r="G914" s="1"/>
    </row>
    <row r="915" spans="7:7" x14ac:dyDescent="0.25">
      <c r="G915" s="1"/>
    </row>
    <row r="916" spans="7:7" x14ac:dyDescent="0.25">
      <c r="G916" s="1"/>
    </row>
    <row r="917" spans="7:7" x14ac:dyDescent="0.25">
      <c r="G917" s="1"/>
    </row>
    <row r="918" spans="7:7" x14ac:dyDescent="0.25">
      <c r="G918" s="1"/>
    </row>
    <row r="919" spans="7:7" x14ac:dyDescent="0.25">
      <c r="G919" s="1"/>
    </row>
    <row r="920" spans="7:7" x14ac:dyDescent="0.25">
      <c r="G920" s="1"/>
    </row>
    <row r="921" spans="7:7" x14ac:dyDescent="0.25">
      <c r="G921" s="1"/>
    </row>
    <row r="922" spans="7:7" x14ac:dyDescent="0.25">
      <c r="G922" s="1"/>
    </row>
    <row r="923" spans="7:7" x14ac:dyDescent="0.25">
      <c r="G923" s="1"/>
    </row>
    <row r="924" spans="7:7" x14ac:dyDescent="0.25">
      <c r="G924" s="1"/>
    </row>
    <row r="925" spans="7:7" x14ac:dyDescent="0.25">
      <c r="G925" s="1"/>
    </row>
    <row r="926" spans="7:7" x14ac:dyDescent="0.25">
      <c r="G926" s="1"/>
    </row>
    <row r="927" spans="7:7" x14ac:dyDescent="0.25">
      <c r="G927" s="1"/>
    </row>
    <row r="928" spans="7:7" x14ac:dyDescent="0.25">
      <c r="G928" s="1"/>
    </row>
    <row r="929" spans="7:7" x14ac:dyDescent="0.25">
      <c r="G929" s="1"/>
    </row>
    <row r="930" spans="7:7" x14ac:dyDescent="0.25">
      <c r="G930" s="1"/>
    </row>
    <row r="931" spans="7:7" x14ac:dyDescent="0.25">
      <c r="G931" s="1"/>
    </row>
    <row r="932" spans="7:7" x14ac:dyDescent="0.25">
      <c r="G932" s="1"/>
    </row>
    <row r="933" spans="7:7" x14ac:dyDescent="0.25">
      <c r="G933" s="1"/>
    </row>
    <row r="934" spans="7:7" x14ac:dyDescent="0.25">
      <c r="G934" s="1"/>
    </row>
    <row r="935" spans="7:7" x14ac:dyDescent="0.25">
      <c r="G935" s="1"/>
    </row>
    <row r="936" spans="7:7" x14ac:dyDescent="0.25">
      <c r="G936" s="1"/>
    </row>
    <row r="937" spans="7:7" x14ac:dyDescent="0.25">
      <c r="G937" s="1"/>
    </row>
    <row r="938" spans="7:7" x14ac:dyDescent="0.25">
      <c r="G938" s="1"/>
    </row>
    <row r="939" spans="7:7" x14ac:dyDescent="0.25">
      <c r="G939" s="1"/>
    </row>
    <row r="940" spans="7:7" x14ac:dyDescent="0.25">
      <c r="G940" s="1"/>
    </row>
    <row r="941" spans="7:7" x14ac:dyDescent="0.25">
      <c r="G941" s="1"/>
    </row>
    <row r="942" spans="7:7" x14ac:dyDescent="0.25">
      <c r="G942" s="1"/>
    </row>
    <row r="943" spans="7:7" x14ac:dyDescent="0.25">
      <c r="G943" s="1"/>
    </row>
    <row r="944" spans="7:7" x14ac:dyDescent="0.25">
      <c r="G944" s="1"/>
    </row>
    <row r="945" spans="7:7" x14ac:dyDescent="0.25">
      <c r="G945" s="1"/>
    </row>
    <row r="946" spans="7:7" x14ac:dyDescent="0.25">
      <c r="G946" s="1"/>
    </row>
    <row r="947" spans="7:7" x14ac:dyDescent="0.25">
      <c r="G947" s="1"/>
    </row>
    <row r="948" spans="7:7" x14ac:dyDescent="0.25">
      <c r="G948" s="1"/>
    </row>
    <row r="949" spans="7:7" x14ac:dyDescent="0.25">
      <c r="G949" s="1"/>
    </row>
    <row r="950" spans="7:7" x14ac:dyDescent="0.25">
      <c r="G950" s="1"/>
    </row>
    <row r="951" spans="7:7" x14ac:dyDescent="0.25">
      <c r="G951" s="1"/>
    </row>
    <row r="952" spans="7:7" x14ac:dyDescent="0.25">
      <c r="G952" s="1"/>
    </row>
    <row r="953" spans="7:7" x14ac:dyDescent="0.25">
      <c r="G953" s="1"/>
    </row>
    <row r="954" spans="7:7" x14ac:dyDescent="0.25">
      <c r="G954" s="1"/>
    </row>
    <row r="955" spans="7:7" x14ac:dyDescent="0.25">
      <c r="G955" s="1"/>
    </row>
    <row r="956" spans="7:7" x14ac:dyDescent="0.25">
      <c r="G956" s="1"/>
    </row>
    <row r="957" spans="7:7" x14ac:dyDescent="0.25">
      <c r="G957" s="1"/>
    </row>
    <row r="958" spans="7:7" x14ac:dyDescent="0.25">
      <c r="G958" s="1"/>
    </row>
    <row r="959" spans="7:7" x14ac:dyDescent="0.25">
      <c r="G959" s="1"/>
    </row>
    <row r="960" spans="7:7" x14ac:dyDescent="0.25">
      <c r="G960" s="1"/>
    </row>
    <row r="961" spans="7:7" x14ac:dyDescent="0.25">
      <c r="G961" s="1"/>
    </row>
    <row r="962" spans="7:7" x14ac:dyDescent="0.25">
      <c r="G962" s="1"/>
    </row>
    <row r="963" spans="7:7" x14ac:dyDescent="0.25">
      <c r="G963" s="1"/>
    </row>
    <row r="964" spans="7:7" x14ac:dyDescent="0.25">
      <c r="G964" s="1"/>
    </row>
    <row r="965" spans="7:7" x14ac:dyDescent="0.25">
      <c r="G965" s="1"/>
    </row>
    <row r="966" spans="7:7" x14ac:dyDescent="0.25">
      <c r="G966" s="1"/>
    </row>
    <row r="967" spans="7:7" x14ac:dyDescent="0.25">
      <c r="G967" s="1"/>
    </row>
    <row r="968" spans="7:7" x14ac:dyDescent="0.25">
      <c r="G968" s="1"/>
    </row>
    <row r="969" spans="7:7" x14ac:dyDescent="0.25">
      <c r="G969" s="1"/>
    </row>
    <row r="970" spans="7:7" x14ac:dyDescent="0.25">
      <c r="G970" s="1"/>
    </row>
    <row r="971" spans="7:7" x14ac:dyDescent="0.25">
      <c r="G971" s="1"/>
    </row>
    <row r="972" spans="7:7" x14ac:dyDescent="0.25">
      <c r="G972" s="1"/>
    </row>
    <row r="973" spans="7:7" x14ac:dyDescent="0.25">
      <c r="G973" s="1"/>
    </row>
    <row r="974" spans="7:7" x14ac:dyDescent="0.25">
      <c r="G974" s="1"/>
    </row>
    <row r="975" spans="7:7" x14ac:dyDescent="0.25">
      <c r="G975" s="1"/>
    </row>
    <row r="976" spans="7:7" x14ac:dyDescent="0.25">
      <c r="G976" s="1"/>
    </row>
    <row r="977" spans="7:7" x14ac:dyDescent="0.25">
      <c r="G977" s="1"/>
    </row>
    <row r="978" spans="7:7" x14ac:dyDescent="0.25">
      <c r="G978" s="1"/>
    </row>
    <row r="979" spans="7:7" x14ac:dyDescent="0.25">
      <c r="G979" s="1"/>
    </row>
    <row r="980" spans="7:7" x14ac:dyDescent="0.25">
      <c r="G980" s="1"/>
    </row>
    <row r="981" spans="7:7" x14ac:dyDescent="0.25">
      <c r="G981" s="1"/>
    </row>
    <row r="982" spans="7:7" x14ac:dyDescent="0.25">
      <c r="G982" s="1"/>
    </row>
    <row r="983" spans="7:7" x14ac:dyDescent="0.25">
      <c r="G983" s="1"/>
    </row>
    <row r="984" spans="7:7" x14ac:dyDescent="0.25">
      <c r="G984" s="1"/>
    </row>
    <row r="985" spans="7:7" x14ac:dyDescent="0.25">
      <c r="G985" s="1"/>
    </row>
    <row r="986" spans="7:7" x14ac:dyDescent="0.25">
      <c r="G986" s="1"/>
    </row>
    <row r="987" spans="7:7" x14ac:dyDescent="0.25">
      <c r="G987" s="1"/>
    </row>
    <row r="988" spans="7:7" x14ac:dyDescent="0.25">
      <c r="G988" s="1"/>
    </row>
    <row r="989" spans="7:7" x14ac:dyDescent="0.25">
      <c r="G989" s="1"/>
    </row>
    <row r="990" spans="7:7" x14ac:dyDescent="0.25">
      <c r="G990" s="1"/>
    </row>
    <row r="991" spans="7:7" x14ac:dyDescent="0.25">
      <c r="G991" s="1"/>
    </row>
    <row r="992" spans="7:7" x14ac:dyDescent="0.25">
      <c r="G992" s="1"/>
    </row>
    <row r="993" spans="7:7" x14ac:dyDescent="0.25">
      <c r="G993" s="1"/>
    </row>
    <row r="994" spans="7:7" x14ac:dyDescent="0.25">
      <c r="G994" s="1"/>
    </row>
    <row r="995" spans="7:7" x14ac:dyDescent="0.25">
      <c r="G995" s="1"/>
    </row>
    <row r="996" spans="7:7" x14ac:dyDescent="0.25">
      <c r="G996" s="1"/>
    </row>
    <row r="997" spans="7:7" x14ac:dyDescent="0.25">
      <c r="G997" s="1"/>
    </row>
    <row r="998" spans="7:7" x14ac:dyDescent="0.25">
      <c r="G998" s="1"/>
    </row>
    <row r="999" spans="7:7" x14ac:dyDescent="0.25">
      <c r="G999" s="1"/>
    </row>
    <row r="1000" spans="7:7" x14ac:dyDescent="0.25">
      <c r="G1000" s="1"/>
    </row>
    <row r="1001" spans="7:7" x14ac:dyDescent="0.25">
      <c r="G1001" s="1"/>
    </row>
    <row r="1002" spans="7:7" x14ac:dyDescent="0.25">
      <c r="G1002" s="1"/>
    </row>
    <row r="1003" spans="7:7" x14ac:dyDescent="0.25">
      <c r="G1003" s="1"/>
    </row>
    <row r="1004" spans="7:7" x14ac:dyDescent="0.25">
      <c r="G1004" s="1"/>
    </row>
    <row r="1005" spans="7:7" x14ac:dyDescent="0.25">
      <c r="G1005" s="1"/>
    </row>
    <row r="1006" spans="7:7" x14ac:dyDescent="0.25">
      <c r="G1006" s="1"/>
    </row>
    <row r="1007" spans="7:7" x14ac:dyDescent="0.25">
      <c r="G1007" s="1"/>
    </row>
    <row r="1008" spans="7:7" x14ac:dyDescent="0.25">
      <c r="G1008" s="1"/>
    </row>
    <row r="1009" spans="7:7" x14ac:dyDescent="0.25">
      <c r="G1009" s="1"/>
    </row>
    <row r="1010" spans="7:7" x14ac:dyDescent="0.25">
      <c r="G1010" s="1"/>
    </row>
    <row r="1011" spans="7:7" x14ac:dyDescent="0.25">
      <c r="G1011" s="1"/>
    </row>
    <row r="1012" spans="7:7" x14ac:dyDescent="0.25">
      <c r="G1012" s="1"/>
    </row>
    <row r="1013" spans="7:7" x14ac:dyDescent="0.25">
      <c r="G1013" s="1"/>
    </row>
    <row r="1014" spans="7:7" x14ac:dyDescent="0.25">
      <c r="G1014" s="1"/>
    </row>
    <row r="1015" spans="7:7" x14ac:dyDescent="0.25">
      <c r="G1015" s="1"/>
    </row>
    <row r="1016" spans="7:7" x14ac:dyDescent="0.25">
      <c r="G1016" s="1"/>
    </row>
    <row r="1017" spans="7:7" x14ac:dyDescent="0.25">
      <c r="G1017" s="1"/>
    </row>
    <row r="1018" spans="7:7" x14ac:dyDescent="0.25">
      <c r="G1018" s="1"/>
    </row>
    <row r="1019" spans="7:7" x14ac:dyDescent="0.25">
      <c r="G1019" s="1"/>
    </row>
    <row r="1020" spans="7:7" x14ac:dyDescent="0.25">
      <c r="G1020" s="1"/>
    </row>
    <row r="1021" spans="7:7" x14ac:dyDescent="0.25">
      <c r="G1021" s="1"/>
    </row>
    <row r="1022" spans="7:7" x14ac:dyDescent="0.25">
      <c r="G1022" s="1"/>
    </row>
    <row r="1023" spans="7:7" x14ac:dyDescent="0.25">
      <c r="G1023" s="1"/>
    </row>
    <row r="1024" spans="7:7" x14ac:dyDescent="0.25">
      <c r="G1024" s="1"/>
    </row>
    <row r="1025" spans="7:7" x14ac:dyDescent="0.25">
      <c r="G1025" s="1"/>
    </row>
    <row r="1026" spans="7:7" x14ac:dyDescent="0.25">
      <c r="G1026" s="1"/>
    </row>
    <row r="1027" spans="7:7" x14ac:dyDescent="0.25">
      <c r="G1027" s="1"/>
    </row>
    <row r="1028" spans="7:7" x14ac:dyDescent="0.25">
      <c r="G1028" s="1"/>
    </row>
    <row r="1029" spans="7:7" x14ac:dyDescent="0.25">
      <c r="G1029" s="1"/>
    </row>
    <row r="1030" spans="7:7" x14ac:dyDescent="0.25">
      <c r="G1030" s="1"/>
    </row>
    <row r="1031" spans="7:7" x14ac:dyDescent="0.25">
      <c r="G1031" s="1"/>
    </row>
    <row r="1032" spans="7:7" x14ac:dyDescent="0.25">
      <c r="G1032" s="1"/>
    </row>
    <row r="1033" spans="7:7" x14ac:dyDescent="0.25">
      <c r="G1033" s="1"/>
    </row>
    <row r="1034" spans="7:7" x14ac:dyDescent="0.25">
      <c r="G1034" s="1"/>
    </row>
    <row r="1035" spans="7:7" x14ac:dyDescent="0.25">
      <c r="G1035" s="1"/>
    </row>
    <row r="1036" spans="7:7" x14ac:dyDescent="0.25">
      <c r="G1036" s="1"/>
    </row>
    <row r="1037" spans="7:7" x14ac:dyDescent="0.25">
      <c r="G1037" s="1"/>
    </row>
    <row r="1038" spans="7:7" x14ac:dyDescent="0.25">
      <c r="G1038" s="1"/>
    </row>
    <row r="1039" spans="7:7" x14ac:dyDescent="0.25">
      <c r="G1039" s="1"/>
    </row>
    <row r="1040" spans="7:7" x14ac:dyDescent="0.25">
      <c r="G1040" s="1"/>
    </row>
    <row r="1041" spans="7:7" x14ac:dyDescent="0.25">
      <c r="G1041" s="1"/>
    </row>
    <row r="1042" spans="7:7" x14ac:dyDescent="0.25">
      <c r="G1042" s="1"/>
    </row>
    <row r="1043" spans="7:7" x14ac:dyDescent="0.25">
      <c r="G1043" s="1"/>
    </row>
    <row r="1044" spans="7:7" x14ac:dyDescent="0.25">
      <c r="G1044" s="1"/>
    </row>
    <row r="1045" spans="7:7" x14ac:dyDescent="0.25">
      <c r="G1045" s="1"/>
    </row>
    <row r="1046" spans="7:7" x14ac:dyDescent="0.25">
      <c r="G1046" s="1"/>
    </row>
    <row r="1047" spans="7:7" x14ac:dyDescent="0.25">
      <c r="G1047" s="1"/>
    </row>
    <row r="1048" spans="7:7" x14ac:dyDescent="0.25">
      <c r="G1048" s="1"/>
    </row>
    <row r="1049" spans="7:7" x14ac:dyDescent="0.25">
      <c r="G1049" s="1"/>
    </row>
    <row r="1050" spans="7:7" x14ac:dyDescent="0.25">
      <c r="G1050" s="1"/>
    </row>
    <row r="1051" spans="7:7" x14ac:dyDescent="0.25">
      <c r="G1051" s="1"/>
    </row>
    <row r="1052" spans="7:7" x14ac:dyDescent="0.25">
      <c r="G1052" s="1"/>
    </row>
    <row r="1053" spans="7:7" x14ac:dyDescent="0.25">
      <c r="G1053" s="1"/>
    </row>
    <row r="1054" spans="7:7" x14ac:dyDescent="0.25">
      <c r="G1054" s="1"/>
    </row>
    <row r="1055" spans="7:7" x14ac:dyDescent="0.25">
      <c r="G1055" s="1"/>
    </row>
    <row r="1056" spans="7:7" x14ac:dyDescent="0.25">
      <c r="G1056" s="1"/>
    </row>
    <row r="1057" spans="7:7" x14ac:dyDescent="0.25">
      <c r="G1057" s="1"/>
    </row>
    <row r="1058" spans="7:7" x14ac:dyDescent="0.25">
      <c r="G1058" s="1"/>
    </row>
    <row r="1059" spans="7:7" x14ac:dyDescent="0.25">
      <c r="G1059" s="1"/>
    </row>
    <row r="1060" spans="7:7" x14ac:dyDescent="0.25">
      <c r="G1060" s="1"/>
    </row>
    <row r="1061" spans="7:7" x14ac:dyDescent="0.25">
      <c r="G1061" s="1"/>
    </row>
    <row r="1062" spans="7:7" x14ac:dyDescent="0.25">
      <c r="G1062" s="1"/>
    </row>
    <row r="1063" spans="7:7" x14ac:dyDescent="0.25">
      <c r="G1063" s="1"/>
    </row>
    <row r="1064" spans="7:7" x14ac:dyDescent="0.25">
      <c r="G1064" s="1"/>
    </row>
    <row r="1065" spans="7:7" x14ac:dyDescent="0.25">
      <c r="G1065" s="1"/>
    </row>
    <row r="1066" spans="7:7" x14ac:dyDescent="0.25">
      <c r="G1066" s="1"/>
    </row>
    <row r="1067" spans="7:7" x14ac:dyDescent="0.25">
      <c r="G1067" s="1"/>
    </row>
    <row r="1068" spans="7:7" x14ac:dyDescent="0.25">
      <c r="G1068" s="1"/>
    </row>
    <row r="1069" spans="7:7" x14ac:dyDescent="0.25">
      <c r="G1069" s="1"/>
    </row>
    <row r="1070" spans="7:7" x14ac:dyDescent="0.25">
      <c r="G1070" s="1"/>
    </row>
    <row r="1071" spans="7:7" x14ac:dyDescent="0.25">
      <c r="G1071" s="1"/>
    </row>
    <row r="1072" spans="7:7" x14ac:dyDescent="0.25">
      <c r="G1072" s="1"/>
    </row>
    <row r="1073" spans="7:7" x14ac:dyDescent="0.25">
      <c r="G1073" s="1"/>
    </row>
    <row r="1074" spans="7:7" x14ac:dyDescent="0.25">
      <c r="G1074" s="1"/>
    </row>
    <row r="1075" spans="7:7" x14ac:dyDescent="0.25">
      <c r="G1075" s="1"/>
    </row>
    <row r="1076" spans="7:7" x14ac:dyDescent="0.25">
      <c r="G1076" s="1"/>
    </row>
    <row r="1077" spans="7:7" x14ac:dyDescent="0.25">
      <c r="G1077" s="1"/>
    </row>
    <row r="1078" spans="7:7" x14ac:dyDescent="0.25">
      <c r="G1078" s="1"/>
    </row>
    <row r="1079" spans="7:7" x14ac:dyDescent="0.25">
      <c r="G1079" s="1"/>
    </row>
    <row r="1080" spans="7:7" x14ac:dyDescent="0.25">
      <c r="G1080" s="1"/>
    </row>
    <row r="1081" spans="7:7" x14ac:dyDescent="0.25">
      <c r="G1081" s="1"/>
    </row>
    <row r="1082" spans="7:7" x14ac:dyDescent="0.25">
      <c r="G1082" s="1"/>
    </row>
    <row r="1083" spans="7:7" x14ac:dyDescent="0.25">
      <c r="G1083" s="1"/>
    </row>
    <row r="1084" spans="7:7" x14ac:dyDescent="0.25">
      <c r="G1084" s="1"/>
    </row>
    <row r="1085" spans="7:7" x14ac:dyDescent="0.25">
      <c r="G1085" s="1"/>
    </row>
    <row r="1086" spans="7:7" x14ac:dyDescent="0.25">
      <c r="G1086" s="1"/>
    </row>
    <row r="1087" spans="7:7" x14ac:dyDescent="0.25">
      <c r="G1087" s="1"/>
    </row>
    <row r="1088" spans="7:7" x14ac:dyDescent="0.25">
      <c r="G1088" s="1"/>
    </row>
    <row r="1089" spans="7:7" x14ac:dyDescent="0.25">
      <c r="G1089" s="1"/>
    </row>
    <row r="1090" spans="7:7" x14ac:dyDescent="0.25">
      <c r="G1090" s="1"/>
    </row>
    <row r="1091" spans="7:7" x14ac:dyDescent="0.25">
      <c r="G1091" s="1"/>
    </row>
    <row r="1092" spans="7:7" x14ac:dyDescent="0.25">
      <c r="G1092" s="1"/>
    </row>
    <row r="1093" spans="7:7" x14ac:dyDescent="0.25">
      <c r="G1093" s="1"/>
    </row>
    <row r="1094" spans="7:7" x14ac:dyDescent="0.25">
      <c r="G1094" s="1"/>
    </row>
    <row r="1095" spans="7:7" x14ac:dyDescent="0.25">
      <c r="G1095" s="1"/>
    </row>
    <row r="1096" spans="7:7" x14ac:dyDescent="0.25">
      <c r="G1096" s="1"/>
    </row>
    <row r="1097" spans="7:7" x14ac:dyDescent="0.25">
      <c r="G1097" s="1"/>
    </row>
    <row r="1098" spans="7:7" x14ac:dyDescent="0.25">
      <c r="G1098" s="1"/>
    </row>
    <row r="1099" spans="7:7" x14ac:dyDescent="0.25">
      <c r="G1099" s="1"/>
    </row>
    <row r="1100" spans="7:7" x14ac:dyDescent="0.25">
      <c r="G1100" s="1"/>
    </row>
    <row r="1101" spans="7:7" x14ac:dyDescent="0.25">
      <c r="G1101" s="1"/>
    </row>
    <row r="1102" spans="7:7" x14ac:dyDescent="0.25">
      <c r="G1102" s="1"/>
    </row>
    <row r="1103" spans="7:7" x14ac:dyDescent="0.25">
      <c r="G1103" s="1"/>
    </row>
    <row r="1104" spans="7:7" x14ac:dyDescent="0.25">
      <c r="G1104" s="1"/>
    </row>
    <row r="1105" spans="7:7" x14ac:dyDescent="0.25">
      <c r="G1105" s="1"/>
    </row>
    <row r="1106" spans="7:7" x14ac:dyDescent="0.25">
      <c r="G1106" s="1"/>
    </row>
    <row r="1107" spans="7:7" x14ac:dyDescent="0.25">
      <c r="G1107" s="1"/>
    </row>
    <row r="1108" spans="7:7" x14ac:dyDescent="0.25">
      <c r="G1108" s="1"/>
    </row>
    <row r="1109" spans="7:7" x14ac:dyDescent="0.25">
      <c r="G1109" s="1"/>
    </row>
    <row r="1110" spans="7:7" x14ac:dyDescent="0.25">
      <c r="G1110" s="1"/>
    </row>
    <row r="1111" spans="7:7" x14ac:dyDescent="0.25">
      <c r="G1111" s="1"/>
    </row>
    <row r="1112" spans="7:7" x14ac:dyDescent="0.25">
      <c r="G1112" s="1"/>
    </row>
    <row r="1113" spans="7:7" x14ac:dyDescent="0.25">
      <c r="G1113" s="1"/>
    </row>
    <row r="1114" spans="7:7" x14ac:dyDescent="0.25">
      <c r="G1114" s="1"/>
    </row>
    <row r="1115" spans="7:7" x14ac:dyDescent="0.25">
      <c r="G1115" s="1"/>
    </row>
    <row r="1116" spans="7:7" x14ac:dyDescent="0.25">
      <c r="G1116" s="1"/>
    </row>
    <row r="1117" spans="7:7" x14ac:dyDescent="0.25">
      <c r="G1117" s="1"/>
    </row>
    <row r="1118" spans="7:7" x14ac:dyDescent="0.25">
      <c r="G1118" s="1"/>
    </row>
    <row r="1119" spans="7:7" x14ac:dyDescent="0.25">
      <c r="G1119" s="1"/>
    </row>
    <row r="1120" spans="7:7" x14ac:dyDescent="0.25">
      <c r="G1120" s="1"/>
    </row>
    <row r="1121" spans="7:7" x14ac:dyDescent="0.25">
      <c r="G1121" s="1"/>
    </row>
    <row r="1122" spans="7:7" x14ac:dyDescent="0.25">
      <c r="G1122" s="1"/>
    </row>
    <row r="1123" spans="7:7" x14ac:dyDescent="0.25">
      <c r="G1123" s="1"/>
    </row>
    <row r="1124" spans="7:7" x14ac:dyDescent="0.25">
      <c r="G1124" s="1"/>
    </row>
    <row r="1125" spans="7:7" x14ac:dyDescent="0.25">
      <c r="G1125" s="1"/>
    </row>
    <row r="1126" spans="7:7" x14ac:dyDescent="0.25">
      <c r="G1126" s="1"/>
    </row>
    <row r="1127" spans="7:7" x14ac:dyDescent="0.25">
      <c r="G1127" s="1"/>
    </row>
    <row r="1128" spans="7:7" x14ac:dyDescent="0.25">
      <c r="G1128" s="1"/>
    </row>
    <row r="1129" spans="7:7" x14ac:dyDescent="0.25">
      <c r="G1129" s="1"/>
    </row>
    <row r="1130" spans="7:7" x14ac:dyDescent="0.25">
      <c r="G1130" s="1"/>
    </row>
    <row r="1131" spans="7:7" x14ac:dyDescent="0.25">
      <c r="G1131" s="1"/>
    </row>
    <row r="1132" spans="7:7" x14ac:dyDescent="0.25">
      <c r="G1132" s="1"/>
    </row>
    <row r="1133" spans="7:7" x14ac:dyDescent="0.25">
      <c r="G1133" s="1"/>
    </row>
    <row r="1134" spans="7:7" x14ac:dyDescent="0.25">
      <c r="G1134" s="1"/>
    </row>
    <row r="1135" spans="7:7" x14ac:dyDescent="0.25">
      <c r="G1135" s="1"/>
    </row>
    <row r="1136" spans="7:7" x14ac:dyDescent="0.25">
      <c r="G1136" s="1"/>
    </row>
    <row r="1137" spans="7:7" x14ac:dyDescent="0.25">
      <c r="G1137" s="1"/>
    </row>
    <row r="1138" spans="7:7" x14ac:dyDescent="0.25">
      <c r="G1138" s="1"/>
    </row>
    <row r="1139" spans="7:7" x14ac:dyDescent="0.25">
      <c r="G1139" s="1"/>
    </row>
    <row r="1140" spans="7:7" x14ac:dyDescent="0.25">
      <c r="G1140" s="1"/>
    </row>
    <row r="1141" spans="7:7" x14ac:dyDescent="0.25">
      <c r="G1141" s="1"/>
    </row>
    <row r="1142" spans="7:7" x14ac:dyDescent="0.25">
      <c r="G1142" s="1"/>
    </row>
    <row r="1143" spans="7:7" x14ac:dyDescent="0.25">
      <c r="G1143" s="1"/>
    </row>
    <row r="1144" spans="7:7" x14ac:dyDescent="0.25">
      <c r="G1144" s="1"/>
    </row>
    <row r="1145" spans="7:7" x14ac:dyDescent="0.25">
      <c r="G1145" s="1"/>
    </row>
    <row r="1146" spans="7:7" x14ac:dyDescent="0.25">
      <c r="G1146" s="1"/>
    </row>
    <row r="1147" spans="7:7" x14ac:dyDescent="0.25">
      <c r="G1147" s="1"/>
    </row>
    <row r="1148" spans="7:7" x14ac:dyDescent="0.25">
      <c r="G1148" s="1"/>
    </row>
    <row r="1149" spans="7:7" x14ac:dyDescent="0.25">
      <c r="G1149" s="1"/>
    </row>
    <row r="1150" spans="7:7" x14ac:dyDescent="0.25">
      <c r="G1150" s="1"/>
    </row>
    <row r="1151" spans="7:7" x14ac:dyDescent="0.25">
      <c r="G1151" s="1"/>
    </row>
    <row r="1152" spans="7:7" x14ac:dyDescent="0.25">
      <c r="G1152" s="1"/>
    </row>
    <row r="1153" spans="7:7" x14ac:dyDescent="0.25">
      <c r="G1153" s="1"/>
    </row>
    <row r="1154" spans="7:7" x14ac:dyDescent="0.25">
      <c r="G1154" s="1"/>
    </row>
    <row r="1155" spans="7:7" x14ac:dyDescent="0.25">
      <c r="G1155" s="1"/>
    </row>
    <row r="1156" spans="7:7" x14ac:dyDescent="0.25">
      <c r="G1156" s="1"/>
    </row>
    <row r="1157" spans="7:7" x14ac:dyDescent="0.25">
      <c r="G1157" s="1"/>
    </row>
    <row r="1158" spans="7:7" x14ac:dyDescent="0.25">
      <c r="G1158" s="1"/>
    </row>
    <row r="1159" spans="7:7" x14ac:dyDescent="0.25">
      <c r="G1159" s="1"/>
    </row>
    <row r="1160" spans="7:7" x14ac:dyDescent="0.25">
      <c r="G1160" s="1"/>
    </row>
    <row r="1161" spans="7:7" x14ac:dyDescent="0.25">
      <c r="G1161" s="1"/>
    </row>
    <row r="1162" spans="7:7" x14ac:dyDescent="0.25">
      <c r="G1162" s="1"/>
    </row>
    <row r="1163" spans="7:7" x14ac:dyDescent="0.25">
      <c r="G1163" s="1"/>
    </row>
    <row r="1164" spans="7:7" x14ac:dyDescent="0.25">
      <c r="G1164" s="1"/>
    </row>
    <row r="1165" spans="7:7" x14ac:dyDescent="0.25">
      <c r="G1165" s="1"/>
    </row>
    <row r="1166" spans="7:7" x14ac:dyDescent="0.25">
      <c r="G1166" s="1"/>
    </row>
    <row r="1167" spans="7:7" x14ac:dyDescent="0.25">
      <c r="G1167" s="1"/>
    </row>
    <row r="1168" spans="7:7" x14ac:dyDescent="0.25">
      <c r="G1168" s="1"/>
    </row>
    <row r="1169" spans="7:7" x14ac:dyDescent="0.25">
      <c r="G1169" s="1"/>
    </row>
    <row r="1170" spans="7:7" x14ac:dyDescent="0.25">
      <c r="G1170" s="1"/>
    </row>
    <row r="1171" spans="7:7" x14ac:dyDescent="0.25">
      <c r="G1171" s="1"/>
    </row>
    <row r="1172" spans="7:7" x14ac:dyDescent="0.25">
      <c r="G1172" s="1"/>
    </row>
    <row r="1173" spans="7:7" x14ac:dyDescent="0.25">
      <c r="G1173" s="1"/>
    </row>
    <row r="1174" spans="7:7" x14ac:dyDescent="0.25">
      <c r="G1174" s="1"/>
    </row>
    <row r="1175" spans="7:7" x14ac:dyDescent="0.25">
      <c r="G1175" s="1"/>
    </row>
    <row r="1176" spans="7:7" x14ac:dyDescent="0.25">
      <c r="G1176" s="1"/>
    </row>
    <row r="1177" spans="7:7" x14ac:dyDescent="0.25">
      <c r="G1177" s="1"/>
    </row>
    <row r="1178" spans="7:7" x14ac:dyDescent="0.25">
      <c r="G1178" s="1"/>
    </row>
    <row r="1179" spans="7:7" x14ac:dyDescent="0.25">
      <c r="G1179" s="1"/>
    </row>
    <row r="1180" spans="7:7" x14ac:dyDescent="0.25">
      <c r="G1180" s="1"/>
    </row>
    <row r="1181" spans="7:7" x14ac:dyDescent="0.25">
      <c r="G1181" s="1"/>
    </row>
    <row r="1182" spans="7:7" x14ac:dyDescent="0.25">
      <c r="G1182" s="1"/>
    </row>
    <row r="1183" spans="7:7" x14ac:dyDescent="0.25">
      <c r="G1183" s="1"/>
    </row>
    <row r="1184" spans="7:7" x14ac:dyDescent="0.25">
      <c r="G1184" s="1"/>
    </row>
    <row r="1185" spans="7:7" x14ac:dyDescent="0.25">
      <c r="G1185" s="1"/>
    </row>
    <row r="1186" spans="7:7" x14ac:dyDescent="0.25">
      <c r="G1186" s="1"/>
    </row>
    <row r="1187" spans="7:7" x14ac:dyDescent="0.25">
      <c r="G1187" s="1"/>
    </row>
    <row r="1188" spans="7:7" x14ac:dyDescent="0.25">
      <c r="G1188" s="1"/>
    </row>
    <row r="1189" spans="7:7" x14ac:dyDescent="0.25">
      <c r="G1189" s="1"/>
    </row>
    <row r="1190" spans="7:7" x14ac:dyDescent="0.25">
      <c r="G1190" s="1"/>
    </row>
    <row r="1191" spans="7:7" x14ac:dyDescent="0.25">
      <c r="G1191" s="1"/>
    </row>
    <row r="1192" spans="7:7" x14ac:dyDescent="0.25">
      <c r="G1192" s="1"/>
    </row>
    <row r="1193" spans="7:7" x14ac:dyDescent="0.25">
      <c r="G1193" s="1"/>
    </row>
    <row r="1194" spans="7:7" x14ac:dyDescent="0.25">
      <c r="G1194" s="1"/>
    </row>
    <row r="1195" spans="7:7" x14ac:dyDescent="0.25">
      <c r="G1195" s="1"/>
    </row>
    <row r="1196" spans="7:7" x14ac:dyDescent="0.25">
      <c r="G1196" s="1"/>
    </row>
    <row r="1197" spans="7:7" x14ac:dyDescent="0.25">
      <c r="G1197" s="1"/>
    </row>
    <row r="1198" spans="7:7" x14ac:dyDescent="0.25">
      <c r="G1198" s="1"/>
    </row>
    <row r="1199" spans="7:7" x14ac:dyDescent="0.25">
      <c r="G1199" s="1"/>
    </row>
    <row r="1200" spans="7:7" x14ac:dyDescent="0.25">
      <c r="G1200" s="1"/>
    </row>
    <row r="1201" spans="7:7" x14ac:dyDescent="0.25">
      <c r="G1201" s="1"/>
    </row>
    <row r="1202" spans="7:7" x14ac:dyDescent="0.25">
      <c r="G1202" s="1"/>
    </row>
    <row r="1203" spans="7:7" x14ac:dyDescent="0.25">
      <c r="G1203" s="1"/>
    </row>
    <row r="1204" spans="7:7" x14ac:dyDescent="0.25">
      <c r="G1204" s="1"/>
    </row>
    <row r="1205" spans="7:7" x14ac:dyDescent="0.25">
      <c r="G1205" s="1"/>
    </row>
    <row r="1206" spans="7:7" x14ac:dyDescent="0.25">
      <c r="G1206" s="1"/>
    </row>
    <row r="1207" spans="7:7" x14ac:dyDescent="0.25">
      <c r="G1207" s="1"/>
    </row>
    <row r="1208" spans="7:7" x14ac:dyDescent="0.25">
      <c r="G1208" s="1"/>
    </row>
    <row r="1209" spans="7:7" x14ac:dyDescent="0.25">
      <c r="G1209" s="1"/>
    </row>
    <row r="1210" spans="7:7" x14ac:dyDescent="0.25">
      <c r="G1210" s="1"/>
    </row>
    <row r="1211" spans="7:7" x14ac:dyDescent="0.25">
      <c r="G1211" s="1"/>
    </row>
    <row r="1212" spans="7:7" x14ac:dyDescent="0.25">
      <c r="G1212" s="1"/>
    </row>
    <row r="1213" spans="7:7" x14ac:dyDescent="0.25">
      <c r="G1213" s="1"/>
    </row>
    <row r="1214" spans="7:7" x14ac:dyDescent="0.25">
      <c r="G1214" s="1"/>
    </row>
    <row r="1215" spans="7:7" x14ac:dyDescent="0.25">
      <c r="G1215" s="1"/>
    </row>
    <row r="1216" spans="7:7" x14ac:dyDescent="0.25">
      <c r="G1216" s="1"/>
    </row>
    <row r="1217" spans="7:7" x14ac:dyDescent="0.25">
      <c r="G1217" s="1"/>
    </row>
    <row r="1218" spans="7:7" x14ac:dyDescent="0.25">
      <c r="G1218" s="1"/>
    </row>
    <row r="1219" spans="7:7" x14ac:dyDescent="0.25">
      <c r="G1219" s="1"/>
    </row>
    <row r="1220" spans="7:7" x14ac:dyDescent="0.25">
      <c r="G1220" s="1"/>
    </row>
    <row r="1221" spans="7:7" x14ac:dyDescent="0.25">
      <c r="G1221" s="1"/>
    </row>
    <row r="1222" spans="7:7" x14ac:dyDescent="0.25">
      <c r="G1222" s="1"/>
    </row>
    <row r="1223" spans="7:7" x14ac:dyDescent="0.25">
      <c r="G1223" s="1"/>
    </row>
    <row r="1224" spans="7:7" x14ac:dyDescent="0.25">
      <c r="G1224" s="1"/>
    </row>
    <row r="1225" spans="7:7" x14ac:dyDescent="0.25">
      <c r="G1225" s="1"/>
    </row>
    <row r="1226" spans="7:7" x14ac:dyDescent="0.25">
      <c r="G1226" s="1"/>
    </row>
    <row r="1227" spans="7:7" x14ac:dyDescent="0.25">
      <c r="G1227" s="1"/>
    </row>
    <row r="1228" spans="7:7" x14ac:dyDescent="0.25">
      <c r="G1228" s="1"/>
    </row>
    <row r="1229" spans="7:7" x14ac:dyDescent="0.25">
      <c r="G1229" s="1"/>
    </row>
    <row r="1230" spans="7:7" x14ac:dyDescent="0.25">
      <c r="G1230" s="1"/>
    </row>
    <row r="1231" spans="7:7" x14ac:dyDescent="0.25">
      <c r="G1231" s="1"/>
    </row>
    <row r="1232" spans="7:7" x14ac:dyDescent="0.25">
      <c r="G1232" s="1"/>
    </row>
    <row r="1233" spans="7:7" x14ac:dyDescent="0.25">
      <c r="G1233" s="1"/>
    </row>
    <row r="1234" spans="7:7" x14ac:dyDescent="0.25">
      <c r="G1234" s="1"/>
    </row>
    <row r="1235" spans="7:7" x14ac:dyDescent="0.25">
      <c r="G1235" s="1"/>
    </row>
    <row r="1236" spans="7:7" x14ac:dyDescent="0.25">
      <c r="G1236" s="1"/>
    </row>
    <row r="1237" spans="7:7" x14ac:dyDescent="0.25">
      <c r="G1237" s="1"/>
    </row>
    <row r="1238" spans="7:7" x14ac:dyDescent="0.25">
      <c r="G1238" s="1"/>
    </row>
    <row r="1239" spans="7:7" x14ac:dyDescent="0.25">
      <c r="G1239" s="1"/>
    </row>
    <row r="1240" spans="7:7" x14ac:dyDescent="0.25">
      <c r="G1240" s="1"/>
    </row>
    <row r="1241" spans="7:7" x14ac:dyDescent="0.25">
      <c r="G1241" s="1"/>
    </row>
    <row r="1242" spans="7:7" x14ac:dyDescent="0.25">
      <c r="G1242" s="1"/>
    </row>
    <row r="1243" spans="7:7" x14ac:dyDescent="0.25">
      <c r="G1243" s="1"/>
    </row>
    <row r="1244" spans="7:7" x14ac:dyDescent="0.25">
      <c r="G1244" s="1"/>
    </row>
    <row r="1245" spans="7:7" x14ac:dyDescent="0.25">
      <c r="G1245" s="1"/>
    </row>
    <row r="1246" spans="7:7" x14ac:dyDescent="0.25">
      <c r="G1246" s="1"/>
    </row>
    <row r="1247" spans="7:7" x14ac:dyDescent="0.25">
      <c r="G1247" s="1"/>
    </row>
    <row r="1248" spans="7:7" x14ac:dyDescent="0.25">
      <c r="G1248" s="1"/>
    </row>
    <row r="1249" spans="7:7" x14ac:dyDescent="0.25">
      <c r="G1249" s="1"/>
    </row>
    <row r="1250" spans="7:7" x14ac:dyDescent="0.25">
      <c r="G1250" s="1"/>
    </row>
    <row r="1251" spans="7:7" x14ac:dyDescent="0.25">
      <c r="G1251" s="1"/>
    </row>
    <row r="1252" spans="7:7" x14ac:dyDescent="0.25">
      <c r="G1252" s="1"/>
    </row>
    <row r="1253" spans="7:7" x14ac:dyDescent="0.25">
      <c r="G1253" s="1"/>
    </row>
    <row r="1254" spans="7:7" x14ac:dyDescent="0.25">
      <c r="G1254" s="1"/>
    </row>
    <row r="1255" spans="7:7" x14ac:dyDescent="0.25">
      <c r="G1255" s="1"/>
    </row>
    <row r="1256" spans="7:7" x14ac:dyDescent="0.25">
      <c r="G1256" s="1"/>
    </row>
    <row r="1257" spans="7:7" x14ac:dyDescent="0.25">
      <c r="G1257" s="1"/>
    </row>
    <row r="1258" spans="7:7" x14ac:dyDescent="0.25">
      <c r="G1258" s="1"/>
    </row>
    <row r="1259" spans="7:7" x14ac:dyDescent="0.25">
      <c r="G1259" s="1"/>
    </row>
    <row r="1260" spans="7:7" x14ac:dyDescent="0.25">
      <c r="G1260" s="1"/>
    </row>
    <row r="1261" spans="7:7" x14ac:dyDescent="0.25">
      <c r="G1261" s="1"/>
    </row>
    <row r="1262" spans="7:7" x14ac:dyDescent="0.25">
      <c r="G1262" s="1"/>
    </row>
    <row r="1263" spans="7:7" x14ac:dyDescent="0.25">
      <c r="G1263" s="1"/>
    </row>
    <row r="1264" spans="7:7" x14ac:dyDescent="0.25">
      <c r="G1264" s="1"/>
    </row>
    <row r="1265" spans="7:7" x14ac:dyDescent="0.25">
      <c r="G1265" s="1"/>
    </row>
    <row r="1266" spans="7:7" x14ac:dyDescent="0.25">
      <c r="G1266" s="1"/>
    </row>
    <row r="1267" spans="7:7" x14ac:dyDescent="0.25">
      <c r="G1267" s="1"/>
    </row>
    <row r="1268" spans="7:7" x14ac:dyDescent="0.25">
      <c r="G1268" s="1"/>
    </row>
    <row r="1269" spans="7:7" x14ac:dyDescent="0.25">
      <c r="G1269" s="1"/>
    </row>
    <row r="1270" spans="7:7" x14ac:dyDescent="0.25">
      <c r="G1270" s="1"/>
    </row>
    <row r="1271" spans="7:7" x14ac:dyDescent="0.25">
      <c r="G1271" s="1"/>
    </row>
    <row r="1272" spans="7:7" x14ac:dyDescent="0.25">
      <c r="G1272" s="1"/>
    </row>
    <row r="1273" spans="7:7" x14ac:dyDescent="0.25">
      <c r="G1273" s="1"/>
    </row>
    <row r="1274" spans="7:7" x14ac:dyDescent="0.25">
      <c r="G1274" s="1"/>
    </row>
    <row r="1275" spans="7:7" x14ac:dyDescent="0.25">
      <c r="G1275" s="1"/>
    </row>
    <row r="1276" spans="7:7" x14ac:dyDescent="0.25">
      <c r="G1276" s="1"/>
    </row>
    <row r="1277" spans="7:7" x14ac:dyDescent="0.25">
      <c r="G1277" s="1"/>
    </row>
    <row r="1278" spans="7:7" x14ac:dyDescent="0.25">
      <c r="G1278" s="1"/>
    </row>
    <row r="1279" spans="7:7" x14ac:dyDescent="0.25">
      <c r="G1279" s="1"/>
    </row>
    <row r="1280" spans="7:7" x14ac:dyDescent="0.25">
      <c r="G1280" s="1"/>
    </row>
    <row r="1281" spans="7:7" x14ac:dyDescent="0.25">
      <c r="G1281" s="1"/>
    </row>
    <row r="1282" spans="7:7" x14ac:dyDescent="0.25">
      <c r="G1282" s="1"/>
    </row>
    <row r="1283" spans="7:7" x14ac:dyDescent="0.25">
      <c r="G1283" s="1"/>
    </row>
    <row r="1284" spans="7:7" x14ac:dyDescent="0.25">
      <c r="G1284" s="1"/>
    </row>
    <row r="1285" spans="7:7" x14ac:dyDescent="0.25">
      <c r="G1285" s="1"/>
    </row>
    <row r="1286" spans="7:7" x14ac:dyDescent="0.25">
      <c r="G1286" s="1"/>
    </row>
    <row r="1287" spans="7:7" x14ac:dyDescent="0.25">
      <c r="G1287" s="1"/>
    </row>
    <row r="1288" spans="7:7" x14ac:dyDescent="0.25">
      <c r="G1288" s="1"/>
    </row>
    <row r="1289" spans="7:7" x14ac:dyDescent="0.25">
      <c r="G1289" s="1"/>
    </row>
    <row r="1290" spans="7:7" x14ac:dyDescent="0.25">
      <c r="G1290" s="1"/>
    </row>
    <row r="1291" spans="7:7" x14ac:dyDescent="0.25">
      <c r="G1291" s="1"/>
    </row>
    <row r="1292" spans="7:7" x14ac:dyDescent="0.25">
      <c r="G1292" s="1"/>
    </row>
    <row r="1293" spans="7:7" x14ac:dyDescent="0.25">
      <c r="G1293" s="1"/>
    </row>
    <row r="1294" spans="7:7" x14ac:dyDescent="0.25">
      <c r="G1294" s="1"/>
    </row>
    <row r="1295" spans="7:7" x14ac:dyDescent="0.25">
      <c r="G1295" s="1"/>
    </row>
    <row r="1296" spans="7:7" x14ac:dyDescent="0.25">
      <c r="G1296" s="1"/>
    </row>
    <row r="1297" spans="7:7" x14ac:dyDescent="0.25">
      <c r="G1297" s="1"/>
    </row>
    <row r="1298" spans="7:7" x14ac:dyDescent="0.25">
      <c r="G1298" s="1"/>
    </row>
    <row r="1299" spans="7:7" x14ac:dyDescent="0.25">
      <c r="G1299" s="1"/>
    </row>
    <row r="1300" spans="7:7" x14ac:dyDescent="0.25">
      <c r="G1300" s="1"/>
    </row>
    <row r="1301" spans="7:7" x14ac:dyDescent="0.25">
      <c r="G1301" s="1"/>
    </row>
    <row r="1302" spans="7:7" x14ac:dyDescent="0.25">
      <c r="G1302" s="1"/>
    </row>
    <row r="1303" spans="7:7" x14ac:dyDescent="0.25">
      <c r="G1303" s="1"/>
    </row>
    <row r="1304" spans="7:7" x14ac:dyDescent="0.25">
      <c r="G1304" s="1"/>
    </row>
    <row r="1305" spans="7:7" x14ac:dyDescent="0.25">
      <c r="G1305" s="1"/>
    </row>
    <row r="1306" spans="7:7" x14ac:dyDescent="0.25">
      <c r="G1306" s="1"/>
    </row>
    <row r="1307" spans="7:7" x14ac:dyDescent="0.25">
      <c r="G1307" s="1"/>
    </row>
    <row r="1308" spans="7:7" x14ac:dyDescent="0.25">
      <c r="G1308" s="1"/>
    </row>
    <row r="1309" spans="7:7" x14ac:dyDescent="0.25">
      <c r="G1309" s="1"/>
    </row>
    <row r="1310" spans="7:7" x14ac:dyDescent="0.25">
      <c r="G1310" s="1"/>
    </row>
    <row r="1311" spans="7:7" x14ac:dyDescent="0.25">
      <c r="G1311" s="1"/>
    </row>
    <row r="1312" spans="7:7" x14ac:dyDescent="0.25">
      <c r="G1312" s="1"/>
    </row>
    <row r="1313" spans="7:7" x14ac:dyDescent="0.25">
      <c r="G1313" s="1"/>
    </row>
    <row r="1314" spans="7:7" x14ac:dyDescent="0.25">
      <c r="G1314" s="1"/>
    </row>
    <row r="1315" spans="7:7" x14ac:dyDescent="0.25">
      <c r="G1315" s="1"/>
    </row>
    <row r="1316" spans="7:7" x14ac:dyDescent="0.25">
      <c r="G1316" s="1"/>
    </row>
    <row r="1317" spans="7:7" x14ac:dyDescent="0.25">
      <c r="G1317" s="1"/>
    </row>
    <row r="1318" spans="7:7" x14ac:dyDescent="0.25">
      <c r="G1318" s="1"/>
    </row>
    <row r="1319" spans="7:7" x14ac:dyDescent="0.25">
      <c r="G1319" s="1"/>
    </row>
    <row r="1320" spans="7:7" x14ac:dyDescent="0.25">
      <c r="G1320" s="1"/>
    </row>
    <row r="1321" spans="7:7" x14ac:dyDescent="0.25">
      <c r="G1321" s="1"/>
    </row>
    <row r="1322" spans="7:7" x14ac:dyDescent="0.25">
      <c r="G1322" s="1"/>
    </row>
    <row r="1323" spans="7:7" x14ac:dyDescent="0.25">
      <c r="G1323" s="1"/>
    </row>
    <row r="1324" spans="7:7" x14ac:dyDescent="0.25">
      <c r="G1324" s="1"/>
    </row>
    <row r="1325" spans="7:7" x14ac:dyDescent="0.25">
      <c r="G1325" s="1"/>
    </row>
    <row r="1326" spans="7:7" x14ac:dyDescent="0.25">
      <c r="G1326" s="1"/>
    </row>
    <row r="1327" spans="7:7" x14ac:dyDescent="0.25">
      <c r="G1327" s="1"/>
    </row>
    <row r="1328" spans="7:7" x14ac:dyDescent="0.25">
      <c r="G1328" s="1"/>
    </row>
    <row r="1329" spans="7:7" x14ac:dyDescent="0.25">
      <c r="G1329" s="1"/>
    </row>
    <row r="1330" spans="7:7" x14ac:dyDescent="0.25">
      <c r="G1330" s="1"/>
    </row>
    <row r="1331" spans="7:7" x14ac:dyDescent="0.25">
      <c r="G1331" s="1"/>
    </row>
    <row r="1332" spans="7:7" x14ac:dyDescent="0.25">
      <c r="G1332" s="1"/>
    </row>
    <row r="1333" spans="7:7" x14ac:dyDescent="0.25">
      <c r="G1333" s="1"/>
    </row>
    <row r="1334" spans="7:7" x14ac:dyDescent="0.25">
      <c r="G1334" s="1"/>
    </row>
    <row r="1335" spans="7:7" x14ac:dyDescent="0.25">
      <c r="G1335" s="1"/>
    </row>
    <row r="1336" spans="7:7" x14ac:dyDescent="0.25">
      <c r="G1336" s="1"/>
    </row>
    <row r="1337" spans="7:7" x14ac:dyDescent="0.25">
      <c r="G1337" s="1"/>
    </row>
    <row r="1338" spans="7:7" x14ac:dyDescent="0.25">
      <c r="G1338" s="1"/>
    </row>
    <row r="1339" spans="7:7" x14ac:dyDescent="0.25">
      <c r="G1339" s="1"/>
    </row>
    <row r="1340" spans="7:7" x14ac:dyDescent="0.25">
      <c r="G1340" s="1"/>
    </row>
    <row r="1341" spans="7:7" x14ac:dyDescent="0.25">
      <c r="G1341" s="1"/>
    </row>
    <row r="1342" spans="7:7" x14ac:dyDescent="0.25">
      <c r="G1342" s="1"/>
    </row>
    <row r="1343" spans="7:7" x14ac:dyDescent="0.25">
      <c r="G1343" s="1"/>
    </row>
    <row r="1344" spans="7:7" x14ac:dyDescent="0.25">
      <c r="G1344" s="1"/>
    </row>
    <row r="1345" spans="7:7" x14ac:dyDescent="0.25">
      <c r="G1345" s="1"/>
    </row>
    <row r="1346" spans="7:7" x14ac:dyDescent="0.25">
      <c r="G1346" s="1"/>
    </row>
    <row r="1347" spans="7:7" x14ac:dyDescent="0.25">
      <c r="G1347" s="1"/>
    </row>
    <row r="1348" spans="7:7" x14ac:dyDescent="0.25">
      <c r="G1348" s="1"/>
    </row>
    <row r="1349" spans="7:7" x14ac:dyDescent="0.25">
      <c r="G1349" s="1"/>
    </row>
    <row r="1350" spans="7:7" x14ac:dyDescent="0.25">
      <c r="G1350" s="1"/>
    </row>
    <row r="1351" spans="7:7" x14ac:dyDescent="0.25">
      <c r="G1351" s="1"/>
    </row>
    <row r="1352" spans="7:7" x14ac:dyDescent="0.25">
      <c r="G1352" s="1"/>
    </row>
    <row r="1353" spans="7:7" x14ac:dyDescent="0.25">
      <c r="G1353" s="1"/>
    </row>
    <row r="1354" spans="7:7" x14ac:dyDescent="0.25">
      <c r="G1354" s="1"/>
    </row>
    <row r="1355" spans="7:7" x14ac:dyDescent="0.25">
      <c r="G1355" s="1"/>
    </row>
    <row r="1356" spans="7:7" x14ac:dyDescent="0.25">
      <c r="G1356" s="1"/>
    </row>
    <row r="1357" spans="7:7" x14ac:dyDescent="0.25">
      <c r="G1357" s="1"/>
    </row>
    <row r="1358" spans="7:7" x14ac:dyDescent="0.25">
      <c r="G1358" s="1"/>
    </row>
    <row r="1359" spans="7:7" x14ac:dyDescent="0.25">
      <c r="G1359" s="1"/>
    </row>
    <row r="1360" spans="7:7" x14ac:dyDescent="0.25">
      <c r="G1360" s="1"/>
    </row>
    <row r="1361" spans="7:7" x14ac:dyDescent="0.25">
      <c r="G1361" s="1"/>
    </row>
    <row r="1362" spans="7:7" x14ac:dyDescent="0.25">
      <c r="G1362" s="1"/>
    </row>
    <row r="1363" spans="7:7" x14ac:dyDescent="0.25">
      <c r="G1363" s="1"/>
    </row>
    <row r="1364" spans="7:7" x14ac:dyDescent="0.25">
      <c r="G1364" s="1"/>
    </row>
    <row r="1365" spans="7:7" x14ac:dyDescent="0.25">
      <c r="G1365" s="1"/>
    </row>
    <row r="1366" spans="7:7" x14ac:dyDescent="0.25">
      <c r="G1366" s="1"/>
    </row>
    <row r="1367" spans="7:7" x14ac:dyDescent="0.25">
      <c r="G1367" s="1"/>
    </row>
    <row r="1368" spans="7:7" x14ac:dyDescent="0.25">
      <c r="G1368" s="1"/>
    </row>
    <row r="1369" spans="7:7" x14ac:dyDescent="0.25">
      <c r="G1369" s="1"/>
    </row>
    <row r="1370" spans="7:7" x14ac:dyDescent="0.25">
      <c r="G1370" s="1"/>
    </row>
    <row r="1371" spans="7:7" x14ac:dyDescent="0.25">
      <c r="G1371" s="1"/>
    </row>
    <row r="1372" spans="7:7" x14ac:dyDescent="0.25">
      <c r="G1372" s="1"/>
    </row>
    <row r="1373" spans="7:7" x14ac:dyDescent="0.25">
      <c r="G1373" s="1"/>
    </row>
    <row r="1374" spans="7:7" x14ac:dyDescent="0.25">
      <c r="G1374" s="1"/>
    </row>
    <row r="1375" spans="7:7" x14ac:dyDescent="0.25">
      <c r="G1375" s="1"/>
    </row>
    <row r="1376" spans="7:7" x14ac:dyDescent="0.25">
      <c r="G1376" s="1"/>
    </row>
    <row r="1377" spans="7:7" x14ac:dyDescent="0.25">
      <c r="G1377" s="1"/>
    </row>
    <row r="1378" spans="7:7" x14ac:dyDescent="0.25">
      <c r="G1378" s="1"/>
    </row>
    <row r="1379" spans="7:7" x14ac:dyDescent="0.25">
      <c r="G1379" s="1"/>
    </row>
    <row r="1380" spans="7:7" x14ac:dyDescent="0.25">
      <c r="G1380" s="1"/>
    </row>
    <row r="1381" spans="7:7" x14ac:dyDescent="0.25">
      <c r="G1381" s="1"/>
    </row>
    <row r="1382" spans="7:7" x14ac:dyDescent="0.25">
      <c r="G1382" s="1"/>
    </row>
    <row r="1383" spans="7:7" x14ac:dyDescent="0.25">
      <c r="G1383" s="1"/>
    </row>
    <row r="1384" spans="7:7" x14ac:dyDescent="0.25">
      <c r="G1384" s="1"/>
    </row>
    <row r="1385" spans="7:7" x14ac:dyDescent="0.25">
      <c r="G1385" s="1"/>
    </row>
    <row r="1386" spans="7:7" x14ac:dyDescent="0.25">
      <c r="G1386" s="1"/>
    </row>
    <row r="1387" spans="7:7" x14ac:dyDescent="0.25">
      <c r="G1387" s="1"/>
    </row>
    <row r="1388" spans="7:7" x14ac:dyDescent="0.25">
      <c r="G1388" s="1"/>
    </row>
    <row r="1389" spans="7:7" x14ac:dyDescent="0.25">
      <c r="G1389" s="1"/>
    </row>
    <row r="1390" spans="7:7" x14ac:dyDescent="0.25">
      <c r="G1390" s="1"/>
    </row>
    <row r="1391" spans="7:7" x14ac:dyDescent="0.25">
      <c r="G1391" s="1"/>
    </row>
    <row r="1392" spans="7:7" x14ac:dyDescent="0.25">
      <c r="G1392" s="1"/>
    </row>
    <row r="1393" spans="7:7" x14ac:dyDescent="0.25">
      <c r="G1393" s="1"/>
    </row>
    <row r="1394" spans="7:7" x14ac:dyDescent="0.25">
      <c r="G1394" s="1"/>
    </row>
    <row r="1395" spans="7:7" x14ac:dyDescent="0.25">
      <c r="G1395" s="1"/>
    </row>
    <row r="1396" spans="7:7" x14ac:dyDescent="0.25">
      <c r="G1396" s="1"/>
    </row>
    <row r="1397" spans="7:7" x14ac:dyDescent="0.25">
      <c r="G1397" s="1"/>
    </row>
    <row r="1398" spans="7:7" x14ac:dyDescent="0.25">
      <c r="G1398" s="1"/>
    </row>
    <row r="1399" spans="7:7" x14ac:dyDescent="0.25">
      <c r="G1399" s="1"/>
    </row>
    <row r="1400" spans="7:7" x14ac:dyDescent="0.25">
      <c r="G1400" s="1"/>
    </row>
    <row r="1401" spans="7:7" x14ac:dyDescent="0.25">
      <c r="G1401" s="1"/>
    </row>
    <row r="1402" spans="7:7" x14ac:dyDescent="0.25">
      <c r="G1402" s="1"/>
    </row>
    <row r="1403" spans="7:7" x14ac:dyDescent="0.25">
      <c r="G1403" s="1"/>
    </row>
    <row r="1404" spans="7:7" x14ac:dyDescent="0.25">
      <c r="G1404" s="1"/>
    </row>
    <row r="1405" spans="7:7" x14ac:dyDescent="0.25">
      <c r="G1405" s="1"/>
    </row>
    <row r="1406" spans="7:7" x14ac:dyDescent="0.25">
      <c r="G1406" s="1"/>
    </row>
    <row r="1407" spans="7:7" x14ac:dyDescent="0.25">
      <c r="G1407" s="1"/>
    </row>
    <row r="1408" spans="7:7" x14ac:dyDescent="0.25">
      <c r="G1408" s="1"/>
    </row>
    <row r="1409" spans="7:7" x14ac:dyDescent="0.25">
      <c r="G1409" s="1"/>
    </row>
    <row r="1410" spans="7:7" x14ac:dyDescent="0.25">
      <c r="G1410" s="1"/>
    </row>
    <row r="1411" spans="7:7" x14ac:dyDescent="0.25">
      <c r="G1411" s="1"/>
    </row>
    <row r="1412" spans="7:7" x14ac:dyDescent="0.25">
      <c r="G1412" s="1"/>
    </row>
    <row r="1413" spans="7:7" x14ac:dyDescent="0.25">
      <c r="G1413" s="1"/>
    </row>
    <row r="1414" spans="7:7" x14ac:dyDescent="0.25">
      <c r="G1414" s="1"/>
    </row>
    <row r="1415" spans="7:7" x14ac:dyDescent="0.25">
      <c r="G1415" s="1"/>
    </row>
    <row r="1416" spans="7:7" x14ac:dyDescent="0.25">
      <c r="G1416" s="1"/>
    </row>
    <row r="1417" spans="7:7" x14ac:dyDescent="0.25">
      <c r="G1417" s="1"/>
    </row>
    <row r="1418" spans="7:7" x14ac:dyDescent="0.25">
      <c r="G1418" s="1"/>
    </row>
    <row r="1419" spans="7:7" x14ac:dyDescent="0.25">
      <c r="G1419" s="1"/>
    </row>
    <row r="1420" spans="7:7" x14ac:dyDescent="0.25">
      <c r="G1420" s="1"/>
    </row>
    <row r="1421" spans="7:7" x14ac:dyDescent="0.25">
      <c r="G1421" s="1"/>
    </row>
    <row r="1422" spans="7:7" x14ac:dyDescent="0.25">
      <c r="G1422" s="1"/>
    </row>
    <row r="1423" spans="7:7" x14ac:dyDescent="0.25">
      <c r="G1423" s="1"/>
    </row>
    <row r="1424" spans="7:7" x14ac:dyDescent="0.25">
      <c r="G1424" s="1"/>
    </row>
    <row r="1425" spans="7:7" x14ac:dyDescent="0.25">
      <c r="G1425" s="1"/>
    </row>
    <row r="1426" spans="7:7" x14ac:dyDescent="0.25">
      <c r="G1426" s="1"/>
    </row>
    <row r="1427" spans="7:7" x14ac:dyDescent="0.25">
      <c r="G1427" s="1"/>
    </row>
    <row r="1428" spans="7:7" x14ac:dyDescent="0.25">
      <c r="G1428" s="1"/>
    </row>
    <row r="1429" spans="7:7" x14ac:dyDescent="0.25">
      <c r="G1429" s="1"/>
    </row>
    <row r="1430" spans="7:7" x14ac:dyDescent="0.25">
      <c r="G1430" s="1"/>
    </row>
    <row r="1431" spans="7:7" x14ac:dyDescent="0.25">
      <c r="G1431" s="1"/>
    </row>
    <row r="1432" spans="7:7" x14ac:dyDescent="0.25">
      <c r="G1432" s="1"/>
    </row>
    <row r="1433" spans="7:7" x14ac:dyDescent="0.25">
      <c r="G1433" s="1"/>
    </row>
    <row r="1434" spans="7:7" x14ac:dyDescent="0.25">
      <c r="G1434" s="1"/>
    </row>
    <row r="1435" spans="7:7" x14ac:dyDescent="0.25">
      <c r="G1435" s="1"/>
    </row>
    <row r="1436" spans="7:7" x14ac:dyDescent="0.25">
      <c r="G1436" s="1"/>
    </row>
    <row r="1437" spans="7:7" x14ac:dyDescent="0.25">
      <c r="G1437" s="1"/>
    </row>
    <row r="1438" spans="7:7" x14ac:dyDescent="0.25">
      <c r="G1438" s="1"/>
    </row>
    <row r="1439" spans="7:7" x14ac:dyDescent="0.25">
      <c r="G1439" s="1"/>
    </row>
    <row r="1440" spans="7:7" x14ac:dyDescent="0.25">
      <c r="G1440" s="1"/>
    </row>
    <row r="1441" spans="7:7" x14ac:dyDescent="0.25">
      <c r="G1441" s="1"/>
    </row>
    <row r="1442" spans="7:7" x14ac:dyDescent="0.25">
      <c r="G1442" s="1"/>
    </row>
    <row r="1443" spans="7:7" x14ac:dyDescent="0.25">
      <c r="G1443" s="1"/>
    </row>
    <row r="1444" spans="7:7" x14ac:dyDescent="0.25">
      <c r="G1444" s="1"/>
    </row>
    <row r="1445" spans="7:7" x14ac:dyDescent="0.25">
      <c r="G1445" s="1"/>
    </row>
    <row r="1446" spans="7:7" x14ac:dyDescent="0.25">
      <c r="G1446" s="1"/>
    </row>
    <row r="1447" spans="7:7" x14ac:dyDescent="0.25">
      <c r="G1447" s="1"/>
    </row>
    <row r="1448" spans="7:7" x14ac:dyDescent="0.25">
      <c r="G1448" s="1"/>
    </row>
    <row r="1449" spans="7:7" x14ac:dyDescent="0.25">
      <c r="G1449" s="1"/>
    </row>
    <row r="1450" spans="7:7" x14ac:dyDescent="0.25">
      <c r="G1450" s="1"/>
    </row>
    <row r="1451" spans="7:7" x14ac:dyDescent="0.25">
      <c r="G1451" s="1"/>
    </row>
    <row r="1452" spans="7:7" x14ac:dyDescent="0.25">
      <c r="G1452" s="1"/>
    </row>
    <row r="1453" spans="7:7" x14ac:dyDescent="0.25">
      <c r="G1453" s="1"/>
    </row>
    <row r="1454" spans="7:7" x14ac:dyDescent="0.25">
      <c r="G1454" s="1"/>
    </row>
    <row r="1455" spans="7:7" x14ac:dyDescent="0.25">
      <c r="G1455" s="1"/>
    </row>
    <row r="1456" spans="7:7" x14ac:dyDescent="0.25">
      <c r="G1456" s="1"/>
    </row>
    <row r="1457" spans="7:7" x14ac:dyDescent="0.25">
      <c r="G1457" s="1"/>
    </row>
    <row r="1458" spans="7:7" x14ac:dyDescent="0.25">
      <c r="G1458" s="1"/>
    </row>
    <row r="1459" spans="7:7" x14ac:dyDescent="0.25">
      <c r="G1459" s="1"/>
    </row>
    <row r="1460" spans="7:7" x14ac:dyDescent="0.25">
      <c r="G1460" s="1"/>
    </row>
    <row r="1461" spans="7:7" x14ac:dyDescent="0.25">
      <c r="G1461" s="1"/>
    </row>
    <row r="1462" spans="7:7" x14ac:dyDescent="0.25">
      <c r="G1462" s="1"/>
    </row>
    <row r="1463" spans="7:7" x14ac:dyDescent="0.25">
      <c r="G1463" s="1"/>
    </row>
    <row r="1464" spans="7:7" x14ac:dyDescent="0.25">
      <c r="G1464" s="1"/>
    </row>
    <row r="1465" spans="7:7" x14ac:dyDescent="0.25">
      <c r="G1465" s="1"/>
    </row>
    <row r="1466" spans="7:7" x14ac:dyDescent="0.25">
      <c r="G1466" s="1"/>
    </row>
    <row r="1467" spans="7:7" x14ac:dyDescent="0.25">
      <c r="G1467" s="1"/>
    </row>
    <row r="1468" spans="7:7" x14ac:dyDescent="0.25">
      <c r="G1468" s="1"/>
    </row>
    <row r="1469" spans="7:7" x14ac:dyDescent="0.25">
      <c r="G1469" s="1"/>
    </row>
    <row r="1470" spans="7:7" x14ac:dyDescent="0.25">
      <c r="G1470" s="1"/>
    </row>
    <row r="1471" spans="7:7" x14ac:dyDescent="0.25">
      <c r="G1471" s="1"/>
    </row>
    <row r="1472" spans="7:7" x14ac:dyDescent="0.25">
      <c r="G1472" s="1"/>
    </row>
    <row r="1473" spans="7:7" x14ac:dyDescent="0.25">
      <c r="G1473" s="1"/>
    </row>
    <row r="1474" spans="7:7" x14ac:dyDescent="0.25">
      <c r="G1474" s="1"/>
    </row>
    <row r="1475" spans="7:7" x14ac:dyDescent="0.25">
      <c r="G1475" s="1"/>
    </row>
    <row r="1476" spans="7:7" x14ac:dyDescent="0.25">
      <c r="G1476" s="1"/>
    </row>
    <row r="1477" spans="7:7" x14ac:dyDescent="0.25">
      <c r="G1477" s="1"/>
    </row>
    <row r="1478" spans="7:7" x14ac:dyDescent="0.25">
      <c r="G1478" s="1"/>
    </row>
    <row r="1479" spans="7:7" x14ac:dyDescent="0.25">
      <c r="G1479" s="1"/>
    </row>
    <row r="1480" spans="7:7" x14ac:dyDescent="0.25">
      <c r="G1480" s="1"/>
    </row>
    <row r="1481" spans="7:7" x14ac:dyDescent="0.25">
      <c r="G1481" s="1"/>
    </row>
    <row r="1482" spans="7:7" x14ac:dyDescent="0.25">
      <c r="G1482" s="1"/>
    </row>
    <row r="1483" spans="7:7" x14ac:dyDescent="0.25">
      <c r="G1483" s="1"/>
    </row>
    <row r="1484" spans="7:7" x14ac:dyDescent="0.25">
      <c r="G1484" s="1"/>
    </row>
    <row r="1485" spans="7:7" x14ac:dyDescent="0.25">
      <c r="G1485" s="1"/>
    </row>
    <row r="1486" spans="7:7" x14ac:dyDescent="0.25">
      <c r="G1486" s="1"/>
    </row>
    <row r="1487" spans="7:7" x14ac:dyDescent="0.25">
      <c r="G1487" s="1"/>
    </row>
    <row r="1488" spans="7:7" x14ac:dyDescent="0.25">
      <c r="G1488" s="1"/>
    </row>
    <row r="1489" spans="7:7" x14ac:dyDescent="0.25">
      <c r="G1489" s="1"/>
    </row>
    <row r="1490" spans="7:7" x14ac:dyDescent="0.25">
      <c r="G1490" s="1"/>
    </row>
    <row r="1491" spans="7:7" x14ac:dyDescent="0.25">
      <c r="G1491" s="1"/>
    </row>
    <row r="1492" spans="7:7" x14ac:dyDescent="0.25">
      <c r="G1492" s="1"/>
    </row>
    <row r="1493" spans="7:7" x14ac:dyDescent="0.25">
      <c r="G1493" s="1"/>
    </row>
    <row r="1494" spans="7:7" x14ac:dyDescent="0.25">
      <c r="G1494" s="1"/>
    </row>
    <row r="1495" spans="7:7" x14ac:dyDescent="0.25">
      <c r="G1495" s="1"/>
    </row>
    <row r="1496" spans="7:7" x14ac:dyDescent="0.25">
      <c r="G1496" s="1"/>
    </row>
    <row r="1497" spans="7:7" x14ac:dyDescent="0.25">
      <c r="G1497" s="1"/>
    </row>
    <row r="1498" spans="7:7" x14ac:dyDescent="0.25">
      <c r="G1498" s="1"/>
    </row>
    <row r="1499" spans="7:7" x14ac:dyDescent="0.25">
      <c r="G1499" s="1"/>
    </row>
    <row r="1500" spans="7:7" x14ac:dyDescent="0.25">
      <c r="G1500" s="1"/>
    </row>
    <row r="1501" spans="7:7" x14ac:dyDescent="0.25">
      <c r="G1501" s="1"/>
    </row>
    <row r="1502" spans="7:7" x14ac:dyDescent="0.25">
      <c r="G1502" s="1"/>
    </row>
    <row r="1503" spans="7:7" x14ac:dyDescent="0.25">
      <c r="G1503" s="1"/>
    </row>
    <row r="1504" spans="7:7" x14ac:dyDescent="0.25">
      <c r="G1504" s="1"/>
    </row>
    <row r="1505" spans="7:7" x14ac:dyDescent="0.25">
      <c r="G1505" s="1"/>
    </row>
    <row r="1506" spans="7:7" x14ac:dyDescent="0.25">
      <c r="G1506" s="1"/>
    </row>
    <row r="1507" spans="7:7" x14ac:dyDescent="0.25">
      <c r="G1507" s="1"/>
    </row>
    <row r="1508" spans="7:7" x14ac:dyDescent="0.25">
      <c r="G1508" s="1"/>
    </row>
    <row r="1509" spans="7:7" x14ac:dyDescent="0.25">
      <c r="G1509" s="1"/>
    </row>
    <row r="1510" spans="7:7" x14ac:dyDescent="0.25">
      <c r="G1510" s="1"/>
    </row>
    <row r="1511" spans="7:7" x14ac:dyDescent="0.25">
      <c r="G1511" s="1"/>
    </row>
    <row r="1512" spans="7:7" x14ac:dyDescent="0.25">
      <c r="G1512" s="1"/>
    </row>
    <row r="1513" spans="7:7" x14ac:dyDescent="0.25">
      <c r="G1513" s="1"/>
    </row>
    <row r="1514" spans="7:7" x14ac:dyDescent="0.25">
      <c r="G1514" s="1"/>
    </row>
    <row r="1515" spans="7:7" x14ac:dyDescent="0.25">
      <c r="G1515" s="1"/>
    </row>
    <row r="1516" spans="7:7" x14ac:dyDescent="0.25">
      <c r="G1516" s="1"/>
    </row>
    <row r="1517" spans="7:7" x14ac:dyDescent="0.25">
      <c r="G1517" s="1"/>
    </row>
    <row r="1518" spans="7:7" x14ac:dyDescent="0.25">
      <c r="G1518" s="1"/>
    </row>
    <row r="1519" spans="7:7" x14ac:dyDescent="0.25">
      <c r="G1519" s="1"/>
    </row>
    <row r="1520" spans="7:7" x14ac:dyDescent="0.25">
      <c r="G1520" s="1"/>
    </row>
    <row r="1521" spans="7:7" x14ac:dyDescent="0.25">
      <c r="G1521" s="1"/>
    </row>
    <row r="1522" spans="7:7" x14ac:dyDescent="0.25">
      <c r="G1522" s="1"/>
    </row>
    <row r="1523" spans="7:7" x14ac:dyDescent="0.25">
      <c r="G1523" s="1"/>
    </row>
    <row r="1524" spans="7:7" x14ac:dyDescent="0.25">
      <c r="G1524" s="1"/>
    </row>
    <row r="1525" spans="7:7" x14ac:dyDescent="0.25">
      <c r="G1525" s="1"/>
    </row>
    <row r="1526" spans="7:7" x14ac:dyDescent="0.25">
      <c r="G1526" s="1"/>
    </row>
    <row r="1527" spans="7:7" x14ac:dyDescent="0.25">
      <c r="G1527" s="1"/>
    </row>
    <row r="1528" spans="7:7" x14ac:dyDescent="0.25">
      <c r="G1528" s="1"/>
    </row>
    <row r="1529" spans="7:7" x14ac:dyDescent="0.25">
      <c r="G1529" s="1"/>
    </row>
    <row r="1530" spans="7:7" x14ac:dyDescent="0.25">
      <c r="G1530" s="1"/>
    </row>
    <row r="1531" spans="7:7" x14ac:dyDescent="0.25">
      <c r="G1531" s="1"/>
    </row>
    <row r="1532" spans="7:7" x14ac:dyDescent="0.25">
      <c r="G1532" s="1"/>
    </row>
    <row r="1533" spans="7:7" x14ac:dyDescent="0.25">
      <c r="G1533" s="1"/>
    </row>
    <row r="1534" spans="7:7" x14ac:dyDescent="0.25">
      <c r="G1534" s="1"/>
    </row>
    <row r="1535" spans="7:7" x14ac:dyDescent="0.25">
      <c r="G1535" s="1"/>
    </row>
    <row r="1536" spans="7:7" x14ac:dyDescent="0.25">
      <c r="G1536" s="1"/>
    </row>
    <row r="1537" spans="7:7" x14ac:dyDescent="0.25">
      <c r="G1537" s="1"/>
    </row>
    <row r="1538" spans="7:7" x14ac:dyDescent="0.25">
      <c r="G1538" s="1"/>
    </row>
    <row r="1539" spans="7:7" x14ac:dyDescent="0.25">
      <c r="G1539" s="1"/>
    </row>
    <row r="1540" spans="7:7" x14ac:dyDescent="0.25">
      <c r="G1540" s="1"/>
    </row>
    <row r="1541" spans="7:7" x14ac:dyDescent="0.25">
      <c r="G1541" s="1"/>
    </row>
    <row r="1542" spans="7:7" x14ac:dyDescent="0.25">
      <c r="G1542" s="1"/>
    </row>
    <row r="1543" spans="7:7" x14ac:dyDescent="0.25">
      <c r="G1543" s="1"/>
    </row>
    <row r="1544" spans="7:7" x14ac:dyDescent="0.25">
      <c r="G1544" s="1"/>
    </row>
    <row r="1545" spans="7:7" x14ac:dyDescent="0.25">
      <c r="G1545" s="1"/>
    </row>
    <row r="1546" spans="7:7" x14ac:dyDescent="0.25">
      <c r="G1546" s="1"/>
    </row>
    <row r="1547" spans="7:7" x14ac:dyDescent="0.25">
      <c r="G1547" s="1"/>
    </row>
    <row r="1548" spans="7:7" x14ac:dyDescent="0.25">
      <c r="G1548" s="1"/>
    </row>
    <row r="1549" spans="7:7" x14ac:dyDescent="0.25">
      <c r="G1549" s="1"/>
    </row>
    <row r="1550" spans="7:7" x14ac:dyDescent="0.25">
      <c r="G1550" s="1"/>
    </row>
    <row r="1551" spans="7:7" x14ac:dyDescent="0.25">
      <c r="G1551" s="1"/>
    </row>
    <row r="1552" spans="7:7" x14ac:dyDescent="0.25">
      <c r="G1552" s="1"/>
    </row>
    <row r="1553" spans="7:7" x14ac:dyDescent="0.25">
      <c r="G1553" s="1"/>
    </row>
    <row r="1554" spans="7:7" x14ac:dyDescent="0.25">
      <c r="G1554" s="1"/>
    </row>
    <row r="1555" spans="7:7" x14ac:dyDescent="0.25">
      <c r="G1555" s="1"/>
    </row>
    <row r="1556" spans="7:7" x14ac:dyDescent="0.25">
      <c r="G1556" s="1"/>
    </row>
    <row r="1557" spans="7:7" x14ac:dyDescent="0.25">
      <c r="G1557" s="1"/>
    </row>
    <row r="1558" spans="7:7" x14ac:dyDescent="0.25">
      <c r="G1558" s="1"/>
    </row>
    <row r="1559" spans="7:7" x14ac:dyDescent="0.25">
      <c r="G1559" s="1"/>
    </row>
    <row r="1560" spans="7:7" x14ac:dyDescent="0.25">
      <c r="G1560" s="1"/>
    </row>
    <row r="1561" spans="7:7" x14ac:dyDescent="0.25">
      <c r="G1561" s="1"/>
    </row>
    <row r="1562" spans="7:7" x14ac:dyDescent="0.25">
      <c r="G1562" s="1"/>
    </row>
    <row r="1563" spans="7:7" x14ac:dyDescent="0.25">
      <c r="G1563" s="1"/>
    </row>
    <row r="1564" spans="7:7" x14ac:dyDescent="0.25">
      <c r="G1564" s="1"/>
    </row>
    <row r="1565" spans="7:7" x14ac:dyDescent="0.25">
      <c r="G1565" s="1"/>
    </row>
    <row r="1566" spans="7:7" x14ac:dyDescent="0.25">
      <c r="G1566" s="1"/>
    </row>
    <row r="1567" spans="7:7" x14ac:dyDescent="0.25">
      <c r="G1567" s="1"/>
    </row>
    <row r="1568" spans="7:7" x14ac:dyDescent="0.25">
      <c r="G1568" s="1"/>
    </row>
    <row r="1569" spans="7:7" x14ac:dyDescent="0.25">
      <c r="G1569" s="1"/>
    </row>
    <row r="1570" spans="7:7" x14ac:dyDescent="0.25">
      <c r="G1570" s="1"/>
    </row>
    <row r="1571" spans="7:7" x14ac:dyDescent="0.25">
      <c r="G1571" s="1"/>
    </row>
    <row r="1572" spans="7:7" x14ac:dyDescent="0.25">
      <c r="G1572" s="1"/>
    </row>
    <row r="1573" spans="7:7" x14ac:dyDescent="0.25">
      <c r="G1573" s="1"/>
    </row>
    <row r="1574" spans="7:7" x14ac:dyDescent="0.25">
      <c r="G1574" s="1"/>
    </row>
    <row r="1575" spans="7:7" x14ac:dyDescent="0.25">
      <c r="G1575" s="1"/>
    </row>
    <row r="1576" spans="7:7" x14ac:dyDescent="0.25">
      <c r="G1576" s="1"/>
    </row>
    <row r="1577" spans="7:7" x14ac:dyDescent="0.25">
      <c r="G1577" s="1"/>
    </row>
    <row r="1578" spans="7:7" x14ac:dyDescent="0.25">
      <c r="G1578" s="1"/>
    </row>
    <row r="1579" spans="7:7" x14ac:dyDescent="0.25">
      <c r="G1579" s="1"/>
    </row>
    <row r="1580" spans="7:7" x14ac:dyDescent="0.25">
      <c r="G1580" s="1"/>
    </row>
    <row r="1581" spans="7:7" x14ac:dyDescent="0.25">
      <c r="G1581" s="1"/>
    </row>
    <row r="1582" spans="7:7" x14ac:dyDescent="0.25">
      <c r="G1582" s="1"/>
    </row>
    <row r="1583" spans="7:7" x14ac:dyDescent="0.25">
      <c r="G1583" s="1"/>
    </row>
    <row r="1584" spans="7:7" x14ac:dyDescent="0.25">
      <c r="G1584" s="1"/>
    </row>
    <row r="1585" spans="7:7" x14ac:dyDescent="0.25">
      <c r="G1585" s="1"/>
    </row>
    <row r="1586" spans="7:7" x14ac:dyDescent="0.25">
      <c r="G1586" s="1"/>
    </row>
    <row r="1587" spans="7:7" x14ac:dyDescent="0.25">
      <c r="G1587" s="1"/>
    </row>
    <row r="1588" spans="7:7" x14ac:dyDescent="0.25">
      <c r="G1588" s="1"/>
    </row>
    <row r="1589" spans="7:7" x14ac:dyDescent="0.25">
      <c r="G1589" s="1"/>
    </row>
    <row r="1590" spans="7:7" x14ac:dyDescent="0.25">
      <c r="G1590" s="1"/>
    </row>
    <row r="1591" spans="7:7" x14ac:dyDescent="0.25">
      <c r="G1591" s="1"/>
    </row>
    <row r="1592" spans="7:7" x14ac:dyDescent="0.25">
      <c r="G1592" s="1"/>
    </row>
    <row r="1593" spans="7:7" x14ac:dyDescent="0.25">
      <c r="G1593" s="1"/>
    </row>
    <row r="1594" spans="7:7" x14ac:dyDescent="0.25">
      <c r="G1594" s="1"/>
    </row>
    <row r="1595" spans="7:7" x14ac:dyDescent="0.25">
      <c r="G1595" s="1"/>
    </row>
    <row r="1596" spans="7:7" x14ac:dyDescent="0.25">
      <c r="G1596" s="1"/>
    </row>
    <row r="1597" spans="7:7" x14ac:dyDescent="0.25">
      <c r="G1597" s="1"/>
    </row>
    <row r="1598" spans="7:7" x14ac:dyDescent="0.25">
      <c r="G1598" s="1"/>
    </row>
    <row r="1599" spans="7:7" x14ac:dyDescent="0.25">
      <c r="G1599" s="1"/>
    </row>
    <row r="1600" spans="7:7" x14ac:dyDescent="0.25">
      <c r="G1600" s="1"/>
    </row>
    <row r="1601" spans="7:7" x14ac:dyDescent="0.25">
      <c r="G1601" s="1"/>
    </row>
    <row r="1602" spans="7:7" x14ac:dyDescent="0.25">
      <c r="G1602" s="1"/>
    </row>
    <row r="1603" spans="7:7" x14ac:dyDescent="0.25">
      <c r="G1603" s="1"/>
    </row>
    <row r="1604" spans="7:7" x14ac:dyDescent="0.25">
      <c r="G1604" s="1"/>
    </row>
    <row r="1605" spans="7:7" x14ac:dyDescent="0.25">
      <c r="G1605" s="1"/>
    </row>
    <row r="1606" spans="7:7" x14ac:dyDescent="0.25">
      <c r="G1606" s="1"/>
    </row>
    <row r="1607" spans="7:7" x14ac:dyDescent="0.25">
      <c r="G1607" s="1"/>
    </row>
    <row r="1608" spans="7:7" x14ac:dyDescent="0.25">
      <c r="G1608" s="1"/>
    </row>
    <row r="1609" spans="7:7" x14ac:dyDescent="0.25">
      <c r="G1609" s="1"/>
    </row>
    <row r="1610" spans="7:7" x14ac:dyDescent="0.25">
      <c r="G1610" s="1"/>
    </row>
    <row r="1611" spans="7:7" x14ac:dyDescent="0.25">
      <c r="G1611" s="1"/>
    </row>
    <row r="1612" spans="7:7" x14ac:dyDescent="0.25">
      <c r="G1612" s="1"/>
    </row>
    <row r="1613" spans="7:7" x14ac:dyDescent="0.25">
      <c r="G1613" s="1"/>
    </row>
    <row r="1614" spans="7:7" x14ac:dyDescent="0.25">
      <c r="G1614" s="1"/>
    </row>
    <row r="1615" spans="7:7" x14ac:dyDescent="0.25">
      <c r="G1615" s="1"/>
    </row>
    <row r="1616" spans="7:7" x14ac:dyDescent="0.25">
      <c r="G1616" s="1"/>
    </row>
    <row r="1617" spans="7:7" x14ac:dyDescent="0.25">
      <c r="G1617" s="1"/>
    </row>
    <row r="1618" spans="7:7" x14ac:dyDescent="0.25">
      <c r="G1618" s="1"/>
    </row>
    <row r="1619" spans="7:7" x14ac:dyDescent="0.25">
      <c r="G1619" s="1"/>
    </row>
    <row r="1620" spans="7:7" x14ac:dyDescent="0.25">
      <c r="G1620" s="1"/>
    </row>
    <row r="1621" spans="7:7" x14ac:dyDescent="0.25">
      <c r="G1621" s="1"/>
    </row>
    <row r="1622" spans="7:7" x14ac:dyDescent="0.25">
      <c r="G1622" s="1"/>
    </row>
    <row r="1623" spans="7:7" x14ac:dyDescent="0.25">
      <c r="G1623" s="1"/>
    </row>
    <row r="1624" spans="7:7" x14ac:dyDescent="0.25">
      <c r="G1624" s="1"/>
    </row>
    <row r="1625" spans="7:7" x14ac:dyDescent="0.25">
      <c r="G1625" s="1"/>
    </row>
    <row r="1626" spans="7:7" x14ac:dyDescent="0.25">
      <c r="G1626" s="1"/>
    </row>
    <row r="1627" spans="7:7" x14ac:dyDescent="0.25">
      <c r="G1627" s="1"/>
    </row>
    <row r="1628" spans="7:7" x14ac:dyDescent="0.25">
      <c r="G1628" s="1"/>
    </row>
    <row r="1629" spans="7:7" x14ac:dyDescent="0.25">
      <c r="G1629" s="1"/>
    </row>
    <row r="1630" spans="7:7" x14ac:dyDescent="0.25">
      <c r="G1630" s="1"/>
    </row>
    <row r="1631" spans="7:7" x14ac:dyDescent="0.25">
      <c r="G1631" s="1"/>
    </row>
    <row r="1632" spans="7:7" x14ac:dyDescent="0.25">
      <c r="G1632" s="1"/>
    </row>
    <row r="1633" spans="7:7" x14ac:dyDescent="0.25">
      <c r="G1633" s="1"/>
    </row>
    <row r="1634" spans="7:7" x14ac:dyDescent="0.25">
      <c r="G1634" s="1"/>
    </row>
    <row r="1635" spans="7:7" x14ac:dyDescent="0.25">
      <c r="G1635" s="1"/>
    </row>
    <row r="1636" spans="7:7" x14ac:dyDescent="0.25">
      <c r="G1636" s="1"/>
    </row>
    <row r="1637" spans="7:7" x14ac:dyDescent="0.25">
      <c r="G1637" s="1"/>
    </row>
    <row r="1638" spans="7:7" x14ac:dyDescent="0.25">
      <c r="G1638" s="1"/>
    </row>
    <row r="1639" spans="7:7" x14ac:dyDescent="0.25">
      <c r="G1639" s="1"/>
    </row>
    <row r="1640" spans="7:7" x14ac:dyDescent="0.25">
      <c r="G1640" s="1"/>
    </row>
    <row r="1641" spans="7:7" x14ac:dyDescent="0.25">
      <c r="G1641" s="1"/>
    </row>
    <row r="1642" spans="7:7" x14ac:dyDescent="0.25">
      <c r="G1642" s="1"/>
    </row>
    <row r="1643" spans="7:7" x14ac:dyDescent="0.25">
      <c r="G1643" s="1"/>
    </row>
    <row r="1644" spans="7:7" x14ac:dyDescent="0.25">
      <c r="G1644" s="1"/>
    </row>
    <row r="1645" spans="7:7" x14ac:dyDescent="0.25">
      <c r="G1645" s="1"/>
    </row>
    <row r="1646" spans="7:7" x14ac:dyDescent="0.25">
      <c r="G1646" s="1"/>
    </row>
    <row r="1647" spans="7:7" x14ac:dyDescent="0.25">
      <c r="G1647" s="1"/>
    </row>
    <row r="1648" spans="7:7" x14ac:dyDescent="0.25">
      <c r="G1648" s="1"/>
    </row>
    <row r="1649" spans="7:7" x14ac:dyDescent="0.25">
      <c r="G1649" s="1"/>
    </row>
    <row r="1650" spans="7:7" x14ac:dyDescent="0.25">
      <c r="G1650" s="1"/>
    </row>
    <row r="1651" spans="7:7" x14ac:dyDescent="0.25">
      <c r="G1651" s="1"/>
    </row>
    <row r="1652" spans="7:7" x14ac:dyDescent="0.25">
      <c r="G1652" s="1"/>
    </row>
    <row r="1653" spans="7:7" x14ac:dyDescent="0.25">
      <c r="G1653" s="1"/>
    </row>
    <row r="1654" spans="7:7" x14ac:dyDescent="0.25">
      <c r="G1654" s="1"/>
    </row>
    <row r="1655" spans="7:7" x14ac:dyDescent="0.25">
      <c r="G1655" s="1"/>
    </row>
    <row r="1656" spans="7:7" x14ac:dyDescent="0.25">
      <c r="G1656" s="1"/>
    </row>
    <row r="1657" spans="7:7" x14ac:dyDescent="0.25">
      <c r="G1657" s="1"/>
    </row>
    <row r="1658" spans="7:7" x14ac:dyDescent="0.25">
      <c r="G1658" s="1"/>
    </row>
    <row r="1659" spans="7:7" x14ac:dyDescent="0.25">
      <c r="G1659" s="1"/>
    </row>
    <row r="1660" spans="7:7" x14ac:dyDescent="0.25">
      <c r="G1660" s="1"/>
    </row>
    <row r="1661" spans="7:7" x14ac:dyDescent="0.25">
      <c r="G1661" s="1"/>
    </row>
    <row r="1662" spans="7:7" x14ac:dyDescent="0.25">
      <c r="G1662" s="1"/>
    </row>
    <row r="1663" spans="7:7" x14ac:dyDescent="0.25">
      <c r="G1663" s="1"/>
    </row>
    <row r="1664" spans="7:7" x14ac:dyDescent="0.25">
      <c r="G1664" s="1"/>
    </row>
    <row r="1665" spans="7:7" x14ac:dyDescent="0.25">
      <c r="G1665" s="1"/>
    </row>
    <row r="1666" spans="7:7" x14ac:dyDescent="0.25">
      <c r="G1666" s="1"/>
    </row>
    <row r="1667" spans="7:7" x14ac:dyDescent="0.25">
      <c r="G1667" s="1"/>
    </row>
    <row r="1668" spans="7:7" x14ac:dyDescent="0.25">
      <c r="G1668" s="1"/>
    </row>
    <row r="1669" spans="7:7" x14ac:dyDescent="0.25">
      <c r="G1669" s="1"/>
    </row>
    <row r="1670" spans="7:7" x14ac:dyDescent="0.25">
      <c r="G1670" s="1"/>
    </row>
    <row r="1671" spans="7:7" x14ac:dyDescent="0.25">
      <c r="G1671" s="1"/>
    </row>
    <row r="1672" spans="7:7" x14ac:dyDescent="0.25">
      <c r="G1672" s="1"/>
    </row>
    <row r="1673" spans="7:7" x14ac:dyDescent="0.25">
      <c r="G1673" s="1"/>
    </row>
    <row r="1674" spans="7:7" x14ac:dyDescent="0.25">
      <c r="G1674" s="1"/>
    </row>
    <row r="1675" spans="7:7" x14ac:dyDescent="0.25">
      <c r="G1675" s="1"/>
    </row>
    <row r="1676" spans="7:7" x14ac:dyDescent="0.25">
      <c r="G1676" s="1"/>
    </row>
    <row r="1677" spans="7:7" x14ac:dyDescent="0.25">
      <c r="G1677" s="1"/>
    </row>
    <row r="1678" spans="7:7" x14ac:dyDescent="0.25">
      <c r="G1678" s="1"/>
    </row>
    <row r="1679" spans="7:7" x14ac:dyDescent="0.25">
      <c r="G1679" s="1"/>
    </row>
    <row r="1680" spans="7:7" x14ac:dyDescent="0.25">
      <c r="G1680" s="1"/>
    </row>
    <row r="1681" spans="7:7" x14ac:dyDescent="0.25">
      <c r="G1681" s="1"/>
    </row>
    <row r="1682" spans="7:7" x14ac:dyDescent="0.25">
      <c r="G1682" s="1"/>
    </row>
    <row r="1683" spans="7:7" x14ac:dyDescent="0.25">
      <c r="G1683" s="1"/>
    </row>
    <row r="1684" spans="7:7" x14ac:dyDescent="0.25">
      <c r="G1684" s="1"/>
    </row>
    <row r="1685" spans="7:7" x14ac:dyDescent="0.25">
      <c r="G1685" s="1"/>
    </row>
    <row r="1686" spans="7:7" x14ac:dyDescent="0.25">
      <c r="G1686" s="1"/>
    </row>
    <row r="1687" spans="7:7" x14ac:dyDescent="0.25">
      <c r="G1687" s="1"/>
    </row>
    <row r="1688" spans="7:7" x14ac:dyDescent="0.25">
      <c r="G1688" s="1"/>
    </row>
    <row r="1689" spans="7:7" x14ac:dyDescent="0.25">
      <c r="G1689" s="1"/>
    </row>
    <row r="1690" spans="7:7" x14ac:dyDescent="0.25">
      <c r="G1690" s="1"/>
    </row>
    <row r="1691" spans="7:7" x14ac:dyDescent="0.25">
      <c r="G1691" s="1"/>
    </row>
    <row r="1692" spans="7:7" x14ac:dyDescent="0.25">
      <c r="G1692" s="1"/>
    </row>
    <row r="1693" spans="7:7" x14ac:dyDescent="0.25">
      <c r="G1693" s="1"/>
    </row>
    <row r="1694" spans="7:7" x14ac:dyDescent="0.25">
      <c r="G1694" s="1"/>
    </row>
    <row r="1695" spans="7:7" x14ac:dyDescent="0.25">
      <c r="G1695" s="1"/>
    </row>
    <row r="1696" spans="7:7" x14ac:dyDescent="0.25">
      <c r="G1696" s="1"/>
    </row>
    <row r="1697" spans="7:7" x14ac:dyDescent="0.25">
      <c r="G1697" s="1"/>
    </row>
    <row r="1698" spans="7:7" x14ac:dyDescent="0.25">
      <c r="G1698" s="1"/>
    </row>
    <row r="1699" spans="7:7" x14ac:dyDescent="0.25">
      <c r="G1699" s="1"/>
    </row>
    <row r="1700" spans="7:7" x14ac:dyDescent="0.25">
      <c r="G1700" s="1"/>
    </row>
    <row r="1701" spans="7:7" x14ac:dyDescent="0.25">
      <c r="G1701" s="1"/>
    </row>
    <row r="1702" spans="7:7" x14ac:dyDescent="0.25">
      <c r="G1702" s="1"/>
    </row>
    <row r="1703" spans="7:7" x14ac:dyDescent="0.25">
      <c r="G1703" s="1"/>
    </row>
    <row r="1704" spans="7:7" x14ac:dyDescent="0.25">
      <c r="G1704" s="1"/>
    </row>
    <row r="1705" spans="7:7" x14ac:dyDescent="0.25">
      <c r="G1705" s="1"/>
    </row>
    <row r="1706" spans="7:7" x14ac:dyDescent="0.25">
      <c r="G1706" s="1"/>
    </row>
    <row r="1707" spans="7:7" x14ac:dyDescent="0.25">
      <c r="G1707" s="1"/>
    </row>
    <row r="1708" spans="7:7" x14ac:dyDescent="0.25">
      <c r="G1708" s="1"/>
    </row>
    <row r="1709" spans="7:7" x14ac:dyDescent="0.25">
      <c r="G1709" s="1"/>
    </row>
    <row r="1710" spans="7:7" x14ac:dyDescent="0.25">
      <c r="G1710" s="1"/>
    </row>
    <row r="1711" spans="7:7" x14ac:dyDescent="0.25">
      <c r="G1711" s="1"/>
    </row>
    <row r="1712" spans="7:7" x14ac:dyDescent="0.25">
      <c r="G1712" s="1"/>
    </row>
    <row r="1713" spans="7:7" x14ac:dyDescent="0.25">
      <c r="G1713" s="1"/>
    </row>
    <row r="1714" spans="7:7" x14ac:dyDescent="0.25">
      <c r="G1714" s="1"/>
    </row>
    <row r="1715" spans="7:7" x14ac:dyDescent="0.25">
      <c r="G1715" s="1"/>
    </row>
    <row r="1716" spans="7:7" x14ac:dyDescent="0.25">
      <c r="G1716" s="1"/>
    </row>
    <row r="1717" spans="7:7" x14ac:dyDescent="0.25">
      <c r="G1717" s="1"/>
    </row>
    <row r="1718" spans="7:7" x14ac:dyDescent="0.25">
      <c r="G1718" s="1"/>
    </row>
    <row r="1719" spans="7:7" x14ac:dyDescent="0.25">
      <c r="G1719" s="1"/>
    </row>
    <row r="1720" spans="7:7" x14ac:dyDescent="0.25">
      <c r="G1720" s="1"/>
    </row>
    <row r="1721" spans="7:7" x14ac:dyDescent="0.25">
      <c r="G1721" s="1"/>
    </row>
    <row r="1722" spans="7:7" x14ac:dyDescent="0.25">
      <c r="G1722" s="1"/>
    </row>
    <row r="1723" spans="7:7" x14ac:dyDescent="0.25">
      <c r="G1723" s="1"/>
    </row>
    <row r="1724" spans="7:7" x14ac:dyDescent="0.25">
      <c r="G1724" s="1"/>
    </row>
    <row r="1725" spans="7:7" x14ac:dyDescent="0.25">
      <c r="G1725" s="1"/>
    </row>
    <row r="1726" spans="7:7" x14ac:dyDescent="0.25">
      <c r="G1726" s="1"/>
    </row>
    <row r="1727" spans="7:7" x14ac:dyDescent="0.25">
      <c r="G1727" s="1"/>
    </row>
    <row r="1728" spans="7:7" x14ac:dyDescent="0.25">
      <c r="G1728" s="1"/>
    </row>
    <row r="1729" spans="7:7" x14ac:dyDescent="0.25">
      <c r="G1729" s="1"/>
    </row>
    <row r="1730" spans="7:7" x14ac:dyDescent="0.25">
      <c r="G1730" s="1"/>
    </row>
    <row r="1731" spans="7:7" x14ac:dyDescent="0.25">
      <c r="G1731" s="1"/>
    </row>
    <row r="1732" spans="7:7" x14ac:dyDescent="0.25">
      <c r="G1732" s="1"/>
    </row>
    <row r="1733" spans="7:7" x14ac:dyDescent="0.25">
      <c r="G1733" s="1"/>
    </row>
    <row r="1734" spans="7:7" x14ac:dyDescent="0.25">
      <c r="G1734" s="1"/>
    </row>
    <row r="1735" spans="7:7" x14ac:dyDescent="0.25">
      <c r="G1735" s="1"/>
    </row>
    <row r="1736" spans="7:7" x14ac:dyDescent="0.25">
      <c r="G1736" s="1"/>
    </row>
    <row r="1737" spans="7:7" x14ac:dyDescent="0.25">
      <c r="G1737" s="1"/>
    </row>
    <row r="1738" spans="7:7" x14ac:dyDescent="0.25">
      <c r="G1738" s="1"/>
    </row>
    <row r="1739" spans="7:7" x14ac:dyDescent="0.25">
      <c r="G1739" s="1"/>
    </row>
    <row r="1740" spans="7:7" x14ac:dyDescent="0.25">
      <c r="G1740" s="1"/>
    </row>
    <row r="1741" spans="7:7" x14ac:dyDescent="0.25">
      <c r="G1741" s="1"/>
    </row>
    <row r="1742" spans="7:7" x14ac:dyDescent="0.25">
      <c r="G1742" s="1"/>
    </row>
    <row r="1743" spans="7:7" x14ac:dyDescent="0.25">
      <c r="G1743" s="1"/>
    </row>
    <row r="1744" spans="7:7" x14ac:dyDescent="0.25">
      <c r="G1744" s="1"/>
    </row>
    <row r="1745" spans="7:7" x14ac:dyDescent="0.25">
      <c r="G1745" s="1"/>
    </row>
    <row r="1746" spans="7:7" x14ac:dyDescent="0.25">
      <c r="G1746" s="1"/>
    </row>
    <row r="1747" spans="7:7" x14ac:dyDescent="0.25">
      <c r="G1747" s="1"/>
    </row>
    <row r="1748" spans="7:7" x14ac:dyDescent="0.25">
      <c r="G1748" s="1"/>
    </row>
    <row r="1749" spans="7:7" x14ac:dyDescent="0.25">
      <c r="G1749" s="1"/>
    </row>
    <row r="1750" spans="7:7" x14ac:dyDescent="0.25">
      <c r="G1750" s="1"/>
    </row>
    <row r="1751" spans="7:7" x14ac:dyDescent="0.25">
      <c r="G1751" s="1"/>
    </row>
    <row r="1752" spans="7:7" x14ac:dyDescent="0.25">
      <c r="G1752" s="1"/>
    </row>
    <row r="1753" spans="7:7" x14ac:dyDescent="0.25">
      <c r="G1753" s="1"/>
    </row>
    <row r="1754" spans="7:7" x14ac:dyDescent="0.25">
      <c r="G1754" s="1"/>
    </row>
    <row r="1755" spans="7:7" x14ac:dyDescent="0.25">
      <c r="G1755" s="1"/>
    </row>
    <row r="1756" spans="7:7" x14ac:dyDescent="0.25">
      <c r="G1756" s="1"/>
    </row>
    <row r="1757" spans="7:7" x14ac:dyDescent="0.25">
      <c r="G1757" s="1"/>
    </row>
    <row r="1758" spans="7:7" x14ac:dyDescent="0.25">
      <c r="G1758" s="1"/>
    </row>
    <row r="1759" spans="7:7" x14ac:dyDescent="0.25">
      <c r="G1759" s="1"/>
    </row>
    <row r="1760" spans="7:7" x14ac:dyDescent="0.25">
      <c r="G1760" s="1"/>
    </row>
    <row r="1761" spans="7:7" x14ac:dyDescent="0.25">
      <c r="G1761" s="1"/>
    </row>
    <row r="1762" spans="7:7" x14ac:dyDescent="0.25">
      <c r="G1762" s="1"/>
    </row>
    <row r="1763" spans="7:7" x14ac:dyDescent="0.25">
      <c r="G1763" s="1"/>
    </row>
    <row r="1764" spans="7:7" x14ac:dyDescent="0.25">
      <c r="G1764" s="1"/>
    </row>
    <row r="1765" spans="7:7" x14ac:dyDescent="0.25">
      <c r="G1765" s="1"/>
    </row>
    <row r="1766" spans="7:7" x14ac:dyDescent="0.25">
      <c r="G1766" s="1"/>
    </row>
    <row r="1767" spans="7:7" x14ac:dyDescent="0.25">
      <c r="G1767" s="1"/>
    </row>
    <row r="1768" spans="7:7" x14ac:dyDescent="0.25">
      <c r="G1768" s="1"/>
    </row>
    <row r="1769" spans="7:7" x14ac:dyDescent="0.25">
      <c r="G1769" s="1"/>
    </row>
    <row r="1770" spans="7:7" x14ac:dyDescent="0.25">
      <c r="G1770" s="1"/>
    </row>
    <row r="1771" spans="7:7" x14ac:dyDescent="0.25">
      <c r="G1771" s="1"/>
    </row>
    <row r="1772" spans="7:7" x14ac:dyDescent="0.25">
      <c r="G1772" s="1"/>
    </row>
    <row r="1773" spans="7:7" x14ac:dyDescent="0.25">
      <c r="G1773" s="1"/>
    </row>
    <row r="1774" spans="7:7" x14ac:dyDescent="0.25">
      <c r="G1774" s="1"/>
    </row>
    <row r="1775" spans="7:7" x14ac:dyDescent="0.25">
      <c r="G1775" s="1"/>
    </row>
    <row r="1776" spans="7:7" x14ac:dyDescent="0.25">
      <c r="G1776" s="1"/>
    </row>
    <row r="1777" spans="7:7" x14ac:dyDescent="0.25">
      <c r="G1777" s="1"/>
    </row>
    <row r="1778" spans="7:7" x14ac:dyDescent="0.25">
      <c r="G1778" s="1"/>
    </row>
    <row r="1779" spans="7:7" x14ac:dyDescent="0.25">
      <c r="G1779" s="1"/>
    </row>
    <row r="1780" spans="7:7" x14ac:dyDescent="0.25">
      <c r="G1780" s="1"/>
    </row>
    <row r="1781" spans="7:7" x14ac:dyDescent="0.25">
      <c r="G1781" s="1"/>
    </row>
    <row r="1782" spans="7:7" x14ac:dyDescent="0.25">
      <c r="G1782" s="1"/>
    </row>
    <row r="1783" spans="7:7" x14ac:dyDescent="0.25">
      <c r="G1783" s="1"/>
    </row>
    <row r="1784" spans="7:7" x14ac:dyDescent="0.25">
      <c r="G1784" s="1"/>
    </row>
    <row r="1785" spans="7:7" x14ac:dyDescent="0.25">
      <c r="G1785" s="1"/>
    </row>
    <row r="1786" spans="7:7" x14ac:dyDescent="0.25">
      <c r="G1786" s="1"/>
    </row>
    <row r="1787" spans="7:7" x14ac:dyDescent="0.25">
      <c r="G1787" s="1"/>
    </row>
    <row r="1788" spans="7:7" x14ac:dyDescent="0.25">
      <c r="G1788" s="1"/>
    </row>
    <row r="1789" spans="7:7" x14ac:dyDescent="0.25">
      <c r="G1789" s="1"/>
    </row>
    <row r="1790" spans="7:7" x14ac:dyDescent="0.25">
      <c r="G1790" s="1"/>
    </row>
    <row r="1791" spans="7:7" x14ac:dyDescent="0.25">
      <c r="G1791" s="1"/>
    </row>
    <row r="1792" spans="7:7" x14ac:dyDescent="0.25">
      <c r="G1792" s="1"/>
    </row>
    <row r="1793" spans="7:7" x14ac:dyDescent="0.25">
      <c r="G1793" s="1"/>
    </row>
    <row r="1794" spans="7:7" x14ac:dyDescent="0.25">
      <c r="G1794" s="1"/>
    </row>
    <row r="1795" spans="7:7" x14ac:dyDescent="0.25">
      <c r="G1795" s="1"/>
    </row>
    <row r="1796" spans="7:7" x14ac:dyDescent="0.25">
      <c r="G1796" s="1"/>
    </row>
    <row r="1797" spans="7:7" x14ac:dyDescent="0.25">
      <c r="G1797" s="1"/>
    </row>
    <row r="1798" spans="7:7" x14ac:dyDescent="0.25">
      <c r="G1798" s="1"/>
    </row>
    <row r="1799" spans="7:7" x14ac:dyDescent="0.25">
      <c r="G1799" s="1"/>
    </row>
    <row r="1800" spans="7:7" x14ac:dyDescent="0.25">
      <c r="G1800" s="1"/>
    </row>
    <row r="1801" spans="7:7" x14ac:dyDescent="0.25">
      <c r="G1801" s="1"/>
    </row>
    <row r="1802" spans="7:7" x14ac:dyDescent="0.25">
      <c r="G1802" s="1"/>
    </row>
    <row r="1803" spans="7:7" x14ac:dyDescent="0.25">
      <c r="G1803" s="1"/>
    </row>
    <row r="1804" spans="7:7" x14ac:dyDescent="0.25">
      <c r="G1804" s="1"/>
    </row>
    <row r="1805" spans="7:7" x14ac:dyDescent="0.25">
      <c r="G1805" s="1"/>
    </row>
    <row r="1806" spans="7:7" x14ac:dyDescent="0.25">
      <c r="G1806" s="1"/>
    </row>
    <row r="1807" spans="7:7" x14ac:dyDescent="0.25">
      <c r="G1807" s="1"/>
    </row>
    <row r="1808" spans="7:7" x14ac:dyDescent="0.25">
      <c r="G1808" s="1"/>
    </row>
    <row r="1809" spans="7:7" x14ac:dyDescent="0.25">
      <c r="G1809" s="1"/>
    </row>
    <row r="1810" spans="7:7" x14ac:dyDescent="0.25">
      <c r="G1810" s="1"/>
    </row>
    <row r="1811" spans="7:7" x14ac:dyDescent="0.25">
      <c r="G1811" s="1"/>
    </row>
    <row r="1812" spans="7:7" x14ac:dyDescent="0.25">
      <c r="G1812" s="1"/>
    </row>
    <row r="1813" spans="7:7" x14ac:dyDescent="0.25">
      <c r="G1813" s="1"/>
    </row>
    <row r="1814" spans="7:7" x14ac:dyDescent="0.25">
      <c r="G1814" s="1"/>
    </row>
    <row r="1815" spans="7:7" x14ac:dyDescent="0.25">
      <c r="G1815" s="1"/>
    </row>
    <row r="1816" spans="7:7" x14ac:dyDescent="0.25">
      <c r="G1816" s="1"/>
    </row>
    <row r="1817" spans="7:7" x14ac:dyDescent="0.25">
      <c r="G1817" s="1"/>
    </row>
    <row r="1818" spans="7:7" x14ac:dyDescent="0.25">
      <c r="G1818" s="1"/>
    </row>
    <row r="1819" spans="7:7" x14ac:dyDescent="0.25">
      <c r="G1819" s="1"/>
    </row>
    <row r="1820" spans="7:7" x14ac:dyDescent="0.25">
      <c r="G1820" s="1"/>
    </row>
    <row r="1821" spans="7:7" x14ac:dyDescent="0.25">
      <c r="G1821" s="1"/>
    </row>
    <row r="1822" spans="7:7" x14ac:dyDescent="0.25">
      <c r="G1822" s="1"/>
    </row>
    <row r="1823" spans="7:7" x14ac:dyDescent="0.25">
      <c r="G1823" s="1"/>
    </row>
    <row r="1824" spans="7:7" x14ac:dyDescent="0.25">
      <c r="G1824" s="1"/>
    </row>
    <row r="1825" spans="7:7" x14ac:dyDescent="0.25">
      <c r="G1825" s="1"/>
    </row>
    <row r="1826" spans="7:7" x14ac:dyDescent="0.25">
      <c r="G1826" s="1"/>
    </row>
    <row r="1827" spans="7:7" x14ac:dyDescent="0.25">
      <c r="G1827" s="1"/>
    </row>
    <row r="1828" spans="7:7" x14ac:dyDescent="0.25">
      <c r="G1828" s="1"/>
    </row>
    <row r="1829" spans="7:7" x14ac:dyDescent="0.25">
      <c r="G1829" s="1"/>
    </row>
    <row r="1830" spans="7:7" x14ac:dyDescent="0.25">
      <c r="G1830" s="1"/>
    </row>
    <row r="1831" spans="7:7" x14ac:dyDescent="0.25">
      <c r="G1831" s="1"/>
    </row>
    <row r="1832" spans="7:7" x14ac:dyDescent="0.25">
      <c r="G1832" s="1"/>
    </row>
    <row r="1833" spans="7:7" x14ac:dyDescent="0.25">
      <c r="G1833" s="1"/>
    </row>
    <row r="1834" spans="7:7" x14ac:dyDescent="0.25">
      <c r="G1834" s="1"/>
    </row>
    <row r="1835" spans="7:7" x14ac:dyDescent="0.25">
      <c r="G1835" s="1"/>
    </row>
    <row r="1836" spans="7:7" x14ac:dyDescent="0.25">
      <c r="G1836" s="1"/>
    </row>
    <row r="1837" spans="7:7" x14ac:dyDescent="0.25">
      <c r="G1837" s="1"/>
    </row>
    <row r="1838" spans="7:7" x14ac:dyDescent="0.25">
      <c r="G1838" s="1"/>
    </row>
    <row r="1839" spans="7:7" x14ac:dyDescent="0.25">
      <c r="G1839" s="1"/>
    </row>
    <row r="1840" spans="7:7" x14ac:dyDescent="0.25">
      <c r="G1840" s="1"/>
    </row>
    <row r="1841" spans="7:7" x14ac:dyDescent="0.25">
      <c r="G1841" s="1"/>
    </row>
    <row r="1842" spans="7:7" x14ac:dyDescent="0.25">
      <c r="G1842" s="1"/>
    </row>
    <row r="1843" spans="7:7" x14ac:dyDescent="0.25">
      <c r="G1843" s="1"/>
    </row>
    <row r="1844" spans="7:7" x14ac:dyDescent="0.25">
      <c r="G1844" s="1"/>
    </row>
    <row r="1845" spans="7:7" x14ac:dyDescent="0.25">
      <c r="G1845" s="1"/>
    </row>
    <row r="1846" spans="7:7" x14ac:dyDescent="0.25">
      <c r="G1846" s="1"/>
    </row>
    <row r="1847" spans="7:7" x14ac:dyDescent="0.25">
      <c r="G1847" s="1"/>
    </row>
    <row r="1848" spans="7:7" x14ac:dyDescent="0.25">
      <c r="G1848" s="1"/>
    </row>
    <row r="1849" spans="7:7" x14ac:dyDescent="0.25">
      <c r="G1849" s="1"/>
    </row>
    <row r="1850" spans="7:7" x14ac:dyDescent="0.25">
      <c r="G1850" s="1"/>
    </row>
    <row r="1851" spans="7:7" x14ac:dyDescent="0.25">
      <c r="G1851" s="1"/>
    </row>
    <row r="1852" spans="7:7" x14ac:dyDescent="0.25">
      <c r="G1852" s="1"/>
    </row>
    <row r="1853" spans="7:7" x14ac:dyDescent="0.25">
      <c r="G1853" s="1"/>
    </row>
    <row r="1854" spans="7:7" x14ac:dyDescent="0.25">
      <c r="G1854" s="1"/>
    </row>
    <row r="1855" spans="7:7" x14ac:dyDescent="0.25">
      <c r="G1855" s="1"/>
    </row>
    <row r="1856" spans="7:7" x14ac:dyDescent="0.25">
      <c r="G1856" s="1"/>
    </row>
    <row r="1857" spans="7:7" x14ac:dyDescent="0.25">
      <c r="G1857" s="1"/>
    </row>
    <row r="1858" spans="7:7" x14ac:dyDescent="0.25">
      <c r="G1858" s="1"/>
    </row>
    <row r="1859" spans="7:7" x14ac:dyDescent="0.25">
      <c r="G1859" s="1"/>
    </row>
    <row r="1860" spans="7:7" x14ac:dyDescent="0.25">
      <c r="G1860" s="1"/>
    </row>
    <row r="1861" spans="7:7" x14ac:dyDescent="0.25">
      <c r="G1861" s="1"/>
    </row>
    <row r="1862" spans="7:7" x14ac:dyDescent="0.25">
      <c r="G1862" s="1"/>
    </row>
    <row r="1863" spans="7:7" x14ac:dyDescent="0.25">
      <c r="G1863" s="1"/>
    </row>
    <row r="1864" spans="7:7" x14ac:dyDescent="0.25">
      <c r="G1864" s="1"/>
    </row>
    <row r="1865" spans="7:7" x14ac:dyDescent="0.25">
      <c r="G1865" s="1"/>
    </row>
    <row r="1866" spans="7:7" x14ac:dyDescent="0.25">
      <c r="G1866" s="1"/>
    </row>
    <row r="1867" spans="7:7" x14ac:dyDescent="0.25">
      <c r="G1867" s="1"/>
    </row>
    <row r="1868" spans="7:7" x14ac:dyDescent="0.25">
      <c r="G1868" s="1"/>
    </row>
    <row r="1869" spans="7:7" x14ac:dyDescent="0.25">
      <c r="G1869" s="1"/>
    </row>
    <row r="1870" spans="7:7" x14ac:dyDescent="0.25">
      <c r="G1870" s="1"/>
    </row>
    <row r="1871" spans="7:7" x14ac:dyDescent="0.25">
      <c r="G1871" s="1"/>
    </row>
    <row r="1872" spans="7:7" x14ac:dyDescent="0.25">
      <c r="G1872" s="1"/>
    </row>
    <row r="1873" spans="7:7" x14ac:dyDescent="0.25">
      <c r="G1873" s="1"/>
    </row>
    <row r="1874" spans="7:7" x14ac:dyDescent="0.25">
      <c r="G1874" s="1"/>
    </row>
    <row r="1875" spans="7:7" x14ac:dyDescent="0.25">
      <c r="G1875" s="1"/>
    </row>
    <row r="1876" spans="7:7" x14ac:dyDescent="0.25">
      <c r="G1876" s="1"/>
    </row>
    <row r="1877" spans="7:7" x14ac:dyDescent="0.25">
      <c r="G1877" s="1"/>
    </row>
    <row r="1878" spans="7:7" x14ac:dyDescent="0.25">
      <c r="G1878" s="1"/>
    </row>
    <row r="1879" spans="7:7" x14ac:dyDescent="0.25">
      <c r="G1879" s="1"/>
    </row>
    <row r="1880" spans="7:7" x14ac:dyDescent="0.25">
      <c r="G1880" s="1"/>
    </row>
    <row r="1881" spans="7:7" x14ac:dyDescent="0.25">
      <c r="G1881" s="1"/>
    </row>
    <row r="1882" spans="7:7" x14ac:dyDescent="0.25">
      <c r="G1882" s="1"/>
    </row>
    <row r="1883" spans="7:7" x14ac:dyDescent="0.25">
      <c r="G1883" s="1"/>
    </row>
    <row r="1884" spans="7:7" x14ac:dyDescent="0.25">
      <c r="G1884" s="1"/>
    </row>
    <row r="1885" spans="7:7" x14ac:dyDescent="0.25">
      <c r="G1885" s="1"/>
    </row>
    <row r="1886" spans="7:7" x14ac:dyDescent="0.25">
      <c r="G1886" s="1"/>
    </row>
    <row r="1887" spans="7:7" x14ac:dyDescent="0.25">
      <c r="G1887" s="1"/>
    </row>
    <row r="1888" spans="7:7" x14ac:dyDescent="0.25">
      <c r="G1888" s="1"/>
    </row>
    <row r="1889" spans="7:7" x14ac:dyDescent="0.25">
      <c r="G1889" s="1"/>
    </row>
    <row r="1890" spans="7:7" x14ac:dyDescent="0.25">
      <c r="G1890" s="1"/>
    </row>
    <row r="1891" spans="7:7" x14ac:dyDescent="0.25">
      <c r="G1891" s="1"/>
    </row>
    <row r="1892" spans="7:7" x14ac:dyDescent="0.25">
      <c r="G1892" s="1"/>
    </row>
    <row r="1893" spans="7:7" x14ac:dyDescent="0.25">
      <c r="G1893" s="1"/>
    </row>
    <row r="1894" spans="7:7" x14ac:dyDescent="0.25">
      <c r="G1894" s="1"/>
    </row>
    <row r="1895" spans="7:7" x14ac:dyDescent="0.25">
      <c r="G1895" s="1"/>
    </row>
    <row r="1896" spans="7:7" x14ac:dyDescent="0.25">
      <c r="G1896" s="1"/>
    </row>
    <row r="1897" spans="7:7" x14ac:dyDescent="0.25">
      <c r="G1897" s="1"/>
    </row>
    <row r="1898" spans="7:7" x14ac:dyDescent="0.25">
      <c r="G1898" s="1"/>
    </row>
    <row r="1899" spans="7:7" x14ac:dyDescent="0.25">
      <c r="G1899" s="1"/>
    </row>
    <row r="1900" spans="7:7" x14ac:dyDescent="0.25">
      <c r="G1900" s="1"/>
    </row>
    <row r="1901" spans="7:7" x14ac:dyDescent="0.25">
      <c r="G1901" s="1"/>
    </row>
    <row r="1902" spans="7:7" x14ac:dyDescent="0.25">
      <c r="G1902" s="1"/>
    </row>
    <row r="1903" spans="7:7" x14ac:dyDescent="0.25">
      <c r="G1903" s="1"/>
    </row>
    <row r="1904" spans="7:7" x14ac:dyDescent="0.25">
      <c r="G1904" s="1"/>
    </row>
    <row r="1905" spans="7:7" x14ac:dyDescent="0.25">
      <c r="G1905" s="1"/>
    </row>
    <row r="1906" spans="7:7" x14ac:dyDescent="0.25">
      <c r="G1906" s="1"/>
    </row>
    <row r="1907" spans="7:7" x14ac:dyDescent="0.25">
      <c r="G1907" s="1"/>
    </row>
    <row r="1908" spans="7:7" x14ac:dyDescent="0.25">
      <c r="G1908" s="1"/>
    </row>
    <row r="1909" spans="7:7" x14ac:dyDescent="0.25">
      <c r="G1909" s="1"/>
    </row>
    <row r="1910" spans="7:7" x14ac:dyDescent="0.25">
      <c r="G1910" s="1"/>
    </row>
    <row r="1911" spans="7:7" x14ac:dyDescent="0.25">
      <c r="G1911" s="1"/>
    </row>
    <row r="1912" spans="7:7" x14ac:dyDescent="0.25">
      <c r="G1912" s="1"/>
    </row>
    <row r="1913" spans="7:7" x14ac:dyDescent="0.25">
      <c r="G1913" s="1"/>
    </row>
    <row r="1914" spans="7:7" x14ac:dyDescent="0.25">
      <c r="G1914" s="1"/>
    </row>
    <row r="1915" spans="7:7" x14ac:dyDescent="0.25">
      <c r="G1915" s="1"/>
    </row>
    <row r="1916" spans="7:7" x14ac:dyDescent="0.25">
      <c r="G1916" s="1"/>
    </row>
    <row r="1917" spans="7:7" x14ac:dyDescent="0.25">
      <c r="G1917" s="1"/>
    </row>
    <row r="1918" spans="7:7" x14ac:dyDescent="0.25">
      <c r="G1918" s="1"/>
    </row>
    <row r="1919" spans="7:7" x14ac:dyDescent="0.25">
      <c r="G1919" s="1"/>
    </row>
    <row r="1920" spans="7:7" x14ac:dyDescent="0.25">
      <c r="G1920" s="1"/>
    </row>
    <row r="1921" spans="7:7" x14ac:dyDescent="0.25">
      <c r="G1921" s="1"/>
    </row>
    <row r="1922" spans="7:7" x14ac:dyDescent="0.25">
      <c r="G1922" s="1"/>
    </row>
    <row r="1923" spans="7:7" x14ac:dyDescent="0.25">
      <c r="G1923" s="1"/>
    </row>
    <row r="1924" spans="7:7" x14ac:dyDescent="0.25">
      <c r="G1924" s="1"/>
    </row>
    <row r="1925" spans="7:7" x14ac:dyDescent="0.25">
      <c r="G1925" s="1"/>
    </row>
    <row r="1926" spans="7:7" x14ac:dyDescent="0.25">
      <c r="G1926" s="1"/>
    </row>
    <row r="1927" spans="7:7" x14ac:dyDescent="0.25">
      <c r="G1927" s="1"/>
    </row>
    <row r="1928" spans="7:7" x14ac:dyDescent="0.25">
      <c r="G1928" s="1"/>
    </row>
    <row r="1929" spans="7:7" x14ac:dyDescent="0.25">
      <c r="G1929" s="1"/>
    </row>
    <row r="1930" spans="7:7" x14ac:dyDescent="0.25">
      <c r="G1930" s="1"/>
    </row>
    <row r="1931" spans="7:7" x14ac:dyDescent="0.25">
      <c r="G1931" s="1"/>
    </row>
    <row r="1932" spans="7:7" x14ac:dyDescent="0.25">
      <c r="G1932" s="1"/>
    </row>
    <row r="1933" spans="7:7" x14ac:dyDescent="0.25">
      <c r="G1933" s="1"/>
    </row>
    <row r="1934" spans="7:7" x14ac:dyDescent="0.25">
      <c r="G1934" s="1"/>
    </row>
    <row r="1935" spans="7:7" x14ac:dyDescent="0.25">
      <c r="G1935" s="1"/>
    </row>
    <row r="1936" spans="7:7" x14ac:dyDescent="0.25">
      <c r="G1936" s="1"/>
    </row>
    <row r="1937" spans="7:7" x14ac:dyDescent="0.25">
      <c r="G1937" s="1"/>
    </row>
    <row r="1938" spans="7:7" x14ac:dyDescent="0.25">
      <c r="G1938" s="1"/>
    </row>
    <row r="1939" spans="7:7" x14ac:dyDescent="0.25">
      <c r="G1939" s="1"/>
    </row>
    <row r="1940" spans="7:7" x14ac:dyDescent="0.25">
      <c r="G1940" s="1"/>
    </row>
    <row r="1941" spans="7:7" x14ac:dyDescent="0.25">
      <c r="G1941" s="1"/>
    </row>
    <row r="1942" spans="7:7" x14ac:dyDescent="0.25">
      <c r="G1942" s="1"/>
    </row>
    <row r="1943" spans="7:7" x14ac:dyDescent="0.25">
      <c r="G1943" s="1"/>
    </row>
    <row r="1944" spans="7:7" x14ac:dyDescent="0.25">
      <c r="G1944" s="1"/>
    </row>
    <row r="1945" spans="7:7" x14ac:dyDescent="0.25">
      <c r="G1945" s="1"/>
    </row>
    <row r="1946" spans="7:7" x14ac:dyDescent="0.25">
      <c r="G1946" s="1"/>
    </row>
    <row r="1947" spans="7:7" x14ac:dyDescent="0.25">
      <c r="G1947" s="1"/>
    </row>
    <row r="1948" spans="7:7" x14ac:dyDescent="0.25">
      <c r="G1948" s="1"/>
    </row>
    <row r="1949" spans="7:7" x14ac:dyDescent="0.25">
      <c r="G1949" s="1"/>
    </row>
    <row r="1950" spans="7:7" x14ac:dyDescent="0.25">
      <c r="G1950" s="1"/>
    </row>
    <row r="1951" spans="7:7" x14ac:dyDescent="0.25">
      <c r="G1951" s="1"/>
    </row>
    <row r="1952" spans="7:7" x14ac:dyDescent="0.25">
      <c r="G1952" s="1"/>
    </row>
    <row r="1953" spans="7:7" x14ac:dyDescent="0.25">
      <c r="G1953" s="1"/>
    </row>
    <row r="1954" spans="7:7" x14ac:dyDescent="0.25">
      <c r="G1954" s="1"/>
    </row>
    <row r="1955" spans="7:7" x14ac:dyDescent="0.25">
      <c r="G1955" s="1"/>
    </row>
    <row r="1956" spans="7:7" x14ac:dyDescent="0.25">
      <c r="G1956" s="1"/>
    </row>
    <row r="1957" spans="7:7" x14ac:dyDescent="0.25">
      <c r="G1957" s="1"/>
    </row>
    <row r="1958" spans="7:7" x14ac:dyDescent="0.25">
      <c r="G1958" s="1"/>
    </row>
    <row r="1959" spans="7:7" x14ac:dyDescent="0.25">
      <c r="G1959" s="1"/>
    </row>
    <row r="1960" spans="7:7" x14ac:dyDescent="0.25">
      <c r="G1960" s="1"/>
    </row>
    <row r="1961" spans="7:7" x14ac:dyDescent="0.25">
      <c r="G1961" s="1"/>
    </row>
    <row r="1962" spans="7:7" x14ac:dyDescent="0.25">
      <c r="G1962" s="1"/>
    </row>
    <row r="1963" spans="7:7" x14ac:dyDescent="0.25">
      <c r="G1963" s="1"/>
    </row>
    <row r="1964" spans="7:7" x14ac:dyDescent="0.25">
      <c r="G1964" s="1"/>
    </row>
    <row r="1965" spans="7:7" x14ac:dyDescent="0.25">
      <c r="G1965" s="1"/>
    </row>
    <row r="1966" spans="7:7" x14ac:dyDescent="0.25">
      <c r="G1966" s="1"/>
    </row>
    <row r="1967" spans="7:7" x14ac:dyDescent="0.25">
      <c r="G1967" s="1"/>
    </row>
    <row r="1968" spans="7:7" x14ac:dyDescent="0.25">
      <c r="G1968" s="1"/>
    </row>
    <row r="1969" spans="7:7" x14ac:dyDescent="0.25">
      <c r="G1969" s="1"/>
    </row>
    <row r="1970" spans="7:7" x14ac:dyDescent="0.25">
      <c r="G1970" s="1"/>
    </row>
    <row r="1971" spans="7:7" x14ac:dyDescent="0.25">
      <c r="G1971" s="1"/>
    </row>
    <row r="1972" spans="7:7" x14ac:dyDescent="0.25">
      <c r="G1972" s="1"/>
    </row>
    <row r="1973" spans="7:7" x14ac:dyDescent="0.25">
      <c r="G1973" s="1"/>
    </row>
    <row r="1974" spans="7:7" x14ac:dyDescent="0.25">
      <c r="G1974" s="1"/>
    </row>
    <row r="1975" spans="7:7" x14ac:dyDescent="0.25">
      <c r="G1975" s="1"/>
    </row>
    <row r="1976" spans="7:7" x14ac:dyDescent="0.25">
      <c r="G1976" s="1"/>
    </row>
    <row r="1977" spans="7:7" x14ac:dyDescent="0.25">
      <c r="G1977" s="1"/>
    </row>
    <row r="1978" spans="7:7" x14ac:dyDescent="0.25">
      <c r="G1978" s="1"/>
    </row>
    <row r="1979" spans="7:7" x14ac:dyDescent="0.25">
      <c r="G1979" s="1"/>
    </row>
    <row r="1980" spans="7:7" x14ac:dyDescent="0.25">
      <c r="G1980" s="1"/>
    </row>
    <row r="1981" spans="7:7" x14ac:dyDescent="0.25">
      <c r="G1981" s="1"/>
    </row>
    <row r="1982" spans="7:7" x14ac:dyDescent="0.25">
      <c r="G1982" s="1"/>
    </row>
    <row r="1983" spans="7:7" x14ac:dyDescent="0.25">
      <c r="G1983" s="1"/>
    </row>
    <row r="1984" spans="7:7" x14ac:dyDescent="0.25">
      <c r="G1984" s="1"/>
    </row>
    <row r="1985" spans="7:7" x14ac:dyDescent="0.25">
      <c r="G1985" s="1"/>
    </row>
    <row r="1986" spans="7:7" x14ac:dyDescent="0.25">
      <c r="G1986" s="1"/>
    </row>
    <row r="1987" spans="7:7" x14ac:dyDescent="0.25">
      <c r="G1987" s="1"/>
    </row>
    <row r="1988" spans="7:7" x14ac:dyDescent="0.25">
      <c r="G1988" s="1"/>
    </row>
    <row r="1989" spans="7:7" x14ac:dyDescent="0.25">
      <c r="G1989" s="1"/>
    </row>
    <row r="1990" spans="7:7" x14ac:dyDescent="0.25">
      <c r="G1990" s="1"/>
    </row>
    <row r="1991" spans="7:7" x14ac:dyDescent="0.25">
      <c r="G1991" s="1"/>
    </row>
    <row r="1992" spans="7:7" x14ac:dyDescent="0.25">
      <c r="G1992" s="1"/>
    </row>
    <row r="1993" spans="7:7" x14ac:dyDescent="0.25">
      <c r="G1993" s="1"/>
    </row>
    <row r="1994" spans="7:7" x14ac:dyDescent="0.25">
      <c r="G1994" s="1"/>
    </row>
    <row r="1995" spans="7:7" x14ac:dyDescent="0.25">
      <c r="G1995" s="1"/>
    </row>
    <row r="1996" spans="7:7" x14ac:dyDescent="0.25">
      <c r="G1996" s="1"/>
    </row>
    <row r="1997" spans="7:7" x14ac:dyDescent="0.25">
      <c r="G1997" s="1"/>
    </row>
    <row r="1998" spans="7:7" x14ac:dyDescent="0.25">
      <c r="G1998" s="1"/>
    </row>
    <row r="1999" spans="7:7" x14ac:dyDescent="0.25">
      <c r="G1999" s="1"/>
    </row>
    <row r="2000" spans="7:7" x14ac:dyDescent="0.25">
      <c r="G2000" s="1"/>
    </row>
    <row r="2001" spans="7:7" x14ac:dyDescent="0.25">
      <c r="G2001" s="1"/>
    </row>
    <row r="2002" spans="7:7" x14ac:dyDescent="0.25">
      <c r="G2002" s="1"/>
    </row>
    <row r="2003" spans="7:7" x14ac:dyDescent="0.25">
      <c r="G2003" s="1"/>
    </row>
    <row r="2004" spans="7:7" x14ac:dyDescent="0.25">
      <c r="G2004" s="1"/>
    </row>
    <row r="2005" spans="7:7" x14ac:dyDescent="0.25">
      <c r="G2005" s="1"/>
    </row>
    <row r="2006" spans="7:7" x14ac:dyDescent="0.25">
      <c r="G2006" s="1"/>
    </row>
    <row r="2007" spans="7:7" x14ac:dyDescent="0.25">
      <c r="G2007" s="1"/>
    </row>
    <row r="2008" spans="7:7" x14ac:dyDescent="0.25">
      <c r="G2008" s="1"/>
    </row>
    <row r="2009" spans="7:7" x14ac:dyDescent="0.25">
      <c r="G2009" s="1"/>
    </row>
    <row r="2010" spans="7:7" x14ac:dyDescent="0.25">
      <c r="G2010" s="1"/>
    </row>
    <row r="2011" spans="7:7" x14ac:dyDescent="0.25">
      <c r="G2011" s="1"/>
    </row>
    <row r="2012" spans="7:7" x14ac:dyDescent="0.25">
      <c r="G2012" s="1"/>
    </row>
    <row r="2013" spans="7:7" x14ac:dyDescent="0.25">
      <c r="G2013" s="1"/>
    </row>
    <row r="2014" spans="7:7" x14ac:dyDescent="0.25">
      <c r="G2014" s="1"/>
    </row>
    <row r="2015" spans="7:7" x14ac:dyDescent="0.25">
      <c r="G2015" s="1"/>
    </row>
    <row r="2016" spans="7:7" x14ac:dyDescent="0.25">
      <c r="G2016" s="1"/>
    </row>
    <row r="2017" spans="7:7" x14ac:dyDescent="0.25">
      <c r="G2017" s="1"/>
    </row>
    <row r="2018" spans="7:7" x14ac:dyDescent="0.25">
      <c r="G2018" s="1"/>
    </row>
    <row r="2019" spans="7:7" x14ac:dyDescent="0.25">
      <c r="G2019" s="1"/>
    </row>
    <row r="2020" spans="7:7" x14ac:dyDescent="0.25">
      <c r="G2020" s="1"/>
    </row>
    <row r="2021" spans="7:7" x14ac:dyDescent="0.25">
      <c r="G2021" s="1"/>
    </row>
    <row r="2022" spans="7:7" x14ac:dyDescent="0.25">
      <c r="G2022" s="1"/>
    </row>
    <row r="2023" spans="7:7" x14ac:dyDescent="0.25">
      <c r="G2023" s="1"/>
    </row>
    <row r="2024" spans="7:7" x14ac:dyDescent="0.25">
      <c r="G2024" s="1"/>
    </row>
    <row r="2025" spans="7:7" x14ac:dyDescent="0.25">
      <c r="G2025" s="1"/>
    </row>
    <row r="2026" spans="7:7" x14ac:dyDescent="0.25">
      <c r="G2026" s="1"/>
    </row>
    <row r="2027" spans="7:7" x14ac:dyDescent="0.25">
      <c r="G2027" s="1"/>
    </row>
    <row r="2028" spans="7:7" x14ac:dyDescent="0.25">
      <c r="G2028" s="1"/>
    </row>
    <row r="2029" spans="7:7" x14ac:dyDescent="0.25">
      <c r="G2029" s="1"/>
    </row>
    <row r="2030" spans="7:7" x14ac:dyDescent="0.25">
      <c r="G2030" s="1"/>
    </row>
    <row r="2031" spans="7:7" x14ac:dyDescent="0.25">
      <c r="G2031" s="1"/>
    </row>
    <row r="2032" spans="7:7" x14ac:dyDescent="0.25">
      <c r="G2032" s="1"/>
    </row>
    <row r="2033" spans="7:7" x14ac:dyDescent="0.25">
      <c r="G2033" s="1"/>
    </row>
    <row r="2034" spans="7:7" x14ac:dyDescent="0.25">
      <c r="G2034" s="1"/>
    </row>
    <row r="2035" spans="7:7" x14ac:dyDescent="0.25">
      <c r="G2035" s="1"/>
    </row>
    <row r="2036" spans="7:7" x14ac:dyDescent="0.25">
      <c r="G2036" s="1"/>
    </row>
    <row r="2037" spans="7:7" x14ac:dyDescent="0.25">
      <c r="G2037" s="1"/>
    </row>
    <row r="2038" spans="7:7" x14ac:dyDescent="0.25">
      <c r="G2038" s="1"/>
    </row>
    <row r="2039" spans="7:7" x14ac:dyDescent="0.25">
      <c r="G2039" s="1"/>
    </row>
    <row r="2040" spans="7:7" x14ac:dyDescent="0.25">
      <c r="G2040" s="1"/>
    </row>
    <row r="2041" spans="7:7" x14ac:dyDescent="0.25">
      <c r="G2041" s="1"/>
    </row>
    <row r="2042" spans="7:7" x14ac:dyDescent="0.25">
      <c r="G2042" s="1"/>
    </row>
    <row r="2043" spans="7:7" x14ac:dyDescent="0.25">
      <c r="G2043" s="1"/>
    </row>
    <row r="2044" spans="7:7" x14ac:dyDescent="0.25">
      <c r="G2044" s="1"/>
    </row>
    <row r="2045" spans="7:7" x14ac:dyDescent="0.25">
      <c r="G2045" s="1"/>
    </row>
    <row r="2046" spans="7:7" x14ac:dyDescent="0.25">
      <c r="G2046" s="1"/>
    </row>
    <row r="2047" spans="7:7" x14ac:dyDescent="0.25">
      <c r="G2047" s="1"/>
    </row>
    <row r="2048" spans="7:7" x14ac:dyDescent="0.25">
      <c r="G2048" s="1"/>
    </row>
    <row r="2049" spans="7:7" x14ac:dyDescent="0.25">
      <c r="G2049" s="1"/>
    </row>
    <row r="2050" spans="7:7" x14ac:dyDescent="0.25">
      <c r="G2050" s="1"/>
    </row>
    <row r="2051" spans="7:7" x14ac:dyDescent="0.25">
      <c r="G2051" s="1"/>
    </row>
    <row r="2052" spans="7:7" x14ac:dyDescent="0.25">
      <c r="G2052" s="1"/>
    </row>
    <row r="2053" spans="7:7" x14ac:dyDescent="0.25">
      <c r="G2053" s="1"/>
    </row>
    <row r="2054" spans="7:7" x14ac:dyDescent="0.25">
      <c r="G2054" s="1"/>
    </row>
    <row r="2055" spans="7:7" x14ac:dyDescent="0.25">
      <c r="G2055" s="1"/>
    </row>
    <row r="2056" spans="7:7" x14ac:dyDescent="0.25">
      <c r="G2056" s="1"/>
    </row>
    <row r="2057" spans="7:7" x14ac:dyDescent="0.25">
      <c r="G2057" s="1"/>
    </row>
    <row r="2058" spans="7:7" x14ac:dyDescent="0.25">
      <c r="G2058" s="1"/>
    </row>
    <row r="2059" spans="7:7" x14ac:dyDescent="0.25">
      <c r="G2059" s="1"/>
    </row>
    <row r="2060" spans="7:7" x14ac:dyDescent="0.25">
      <c r="G2060" s="1"/>
    </row>
    <row r="2061" spans="7:7" x14ac:dyDescent="0.25">
      <c r="G2061" s="1"/>
    </row>
    <row r="2062" spans="7:7" x14ac:dyDescent="0.25">
      <c r="G2062" s="1"/>
    </row>
    <row r="2063" spans="7:7" x14ac:dyDescent="0.25">
      <c r="G2063" s="1"/>
    </row>
    <row r="2064" spans="7:7" x14ac:dyDescent="0.25">
      <c r="G2064" s="1"/>
    </row>
    <row r="2065" spans="7:7" x14ac:dyDescent="0.25">
      <c r="G2065" s="1"/>
    </row>
    <row r="2066" spans="7:7" x14ac:dyDescent="0.25">
      <c r="G2066" s="1"/>
    </row>
    <row r="2067" spans="7:7" x14ac:dyDescent="0.25">
      <c r="G2067" s="1"/>
    </row>
    <row r="2068" spans="7:7" x14ac:dyDescent="0.25">
      <c r="G2068" s="1"/>
    </row>
    <row r="2069" spans="7:7" x14ac:dyDescent="0.25">
      <c r="G2069" s="1"/>
    </row>
    <row r="2070" spans="7:7" x14ac:dyDescent="0.25">
      <c r="G2070" s="1"/>
    </row>
    <row r="2071" spans="7:7" x14ac:dyDescent="0.25">
      <c r="G2071" s="1"/>
    </row>
    <row r="2072" spans="7:7" x14ac:dyDescent="0.25">
      <c r="G2072" s="1"/>
    </row>
    <row r="2073" spans="7:7" x14ac:dyDescent="0.25">
      <c r="G2073" s="1"/>
    </row>
    <row r="2074" spans="7:7" x14ac:dyDescent="0.25">
      <c r="G2074" s="1"/>
    </row>
    <row r="2075" spans="7:7" x14ac:dyDescent="0.25">
      <c r="G2075" s="1"/>
    </row>
    <row r="2076" spans="7:7" x14ac:dyDescent="0.25">
      <c r="G2076" s="1"/>
    </row>
    <row r="2077" spans="7:7" x14ac:dyDescent="0.25">
      <c r="G2077" s="1"/>
    </row>
    <row r="2078" spans="7:7" x14ac:dyDescent="0.25">
      <c r="G2078" s="1"/>
    </row>
    <row r="2079" spans="7:7" x14ac:dyDescent="0.25">
      <c r="G2079" s="1"/>
    </row>
    <row r="2080" spans="7:7" x14ac:dyDescent="0.25">
      <c r="G2080" s="1"/>
    </row>
    <row r="2081" spans="7:7" x14ac:dyDescent="0.25">
      <c r="G2081" s="1"/>
    </row>
    <row r="2082" spans="7:7" x14ac:dyDescent="0.25">
      <c r="G2082" s="1"/>
    </row>
    <row r="2083" spans="7:7" x14ac:dyDescent="0.25">
      <c r="G2083" s="1"/>
    </row>
    <row r="2084" spans="7:7" x14ac:dyDescent="0.25">
      <c r="G2084" s="1"/>
    </row>
    <row r="2085" spans="7:7" x14ac:dyDescent="0.25">
      <c r="G2085" s="1"/>
    </row>
    <row r="2086" spans="7:7" x14ac:dyDescent="0.25">
      <c r="G2086" s="1"/>
    </row>
    <row r="2087" spans="7:7" x14ac:dyDescent="0.25">
      <c r="G2087" s="1"/>
    </row>
    <row r="2088" spans="7:7" x14ac:dyDescent="0.25">
      <c r="G2088" s="1"/>
    </row>
    <row r="2089" spans="7:7" x14ac:dyDescent="0.25">
      <c r="G2089" s="1"/>
    </row>
    <row r="2090" spans="7:7" x14ac:dyDescent="0.25">
      <c r="G2090" s="1"/>
    </row>
    <row r="2091" spans="7:7" x14ac:dyDescent="0.25">
      <c r="G2091" s="1"/>
    </row>
    <row r="2092" spans="7:7" x14ac:dyDescent="0.25">
      <c r="G2092" s="1"/>
    </row>
    <row r="2093" spans="7:7" x14ac:dyDescent="0.25">
      <c r="G2093" s="1"/>
    </row>
    <row r="2094" spans="7:7" x14ac:dyDescent="0.25">
      <c r="G2094" s="1"/>
    </row>
    <row r="2095" spans="7:7" x14ac:dyDescent="0.25">
      <c r="G2095" s="1"/>
    </row>
    <row r="2096" spans="7:7" x14ac:dyDescent="0.25">
      <c r="G2096" s="1"/>
    </row>
    <row r="2097" spans="7:7" x14ac:dyDescent="0.25">
      <c r="G2097" s="1"/>
    </row>
    <row r="2098" spans="7:7" x14ac:dyDescent="0.25">
      <c r="G2098" s="1"/>
    </row>
    <row r="2099" spans="7:7" x14ac:dyDescent="0.25">
      <c r="G2099" s="1"/>
    </row>
    <row r="2100" spans="7:7" x14ac:dyDescent="0.25">
      <c r="G2100" s="1"/>
    </row>
    <row r="2101" spans="7:7" x14ac:dyDescent="0.25">
      <c r="G2101" s="1"/>
    </row>
    <row r="2102" spans="7:7" x14ac:dyDescent="0.25">
      <c r="G2102" s="1"/>
    </row>
    <row r="2103" spans="7:7" x14ac:dyDescent="0.25">
      <c r="G2103" s="1"/>
    </row>
    <row r="2104" spans="7:7" x14ac:dyDescent="0.25">
      <c r="G2104" s="1"/>
    </row>
    <row r="2105" spans="7:7" x14ac:dyDescent="0.25">
      <c r="G2105" s="1"/>
    </row>
    <row r="2106" spans="7:7" x14ac:dyDescent="0.25">
      <c r="G2106" s="1"/>
    </row>
    <row r="2107" spans="7:7" x14ac:dyDescent="0.25">
      <c r="G2107" s="1"/>
    </row>
    <row r="2108" spans="7:7" x14ac:dyDescent="0.25">
      <c r="G2108" s="1"/>
    </row>
    <row r="2109" spans="7:7" x14ac:dyDescent="0.25">
      <c r="G2109" s="1"/>
    </row>
    <row r="2110" spans="7:7" x14ac:dyDescent="0.25">
      <c r="G2110" s="1"/>
    </row>
    <row r="2111" spans="7:7" x14ac:dyDescent="0.25">
      <c r="G2111" s="1"/>
    </row>
    <row r="2112" spans="7:7" x14ac:dyDescent="0.25">
      <c r="G2112" s="1"/>
    </row>
    <row r="2113" spans="7:7" x14ac:dyDescent="0.25">
      <c r="G2113" s="1"/>
    </row>
    <row r="2114" spans="7:7" x14ac:dyDescent="0.25">
      <c r="G2114" s="1"/>
    </row>
    <row r="2115" spans="7:7" x14ac:dyDescent="0.25">
      <c r="G2115" s="1"/>
    </row>
    <row r="2116" spans="7:7" x14ac:dyDescent="0.25">
      <c r="G2116" s="1"/>
    </row>
    <row r="2117" spans="7:7" x14ac:dyDescent="0.25">
      <c r="G2117" s="1"/>
    </row>
    <row r="2118" spans="7:7" x14ac:dyDescent="0.25">
      <c r="G2118" s="1"/>
    </row>
    <row r="2119" spans="7:7" x14ac:dyDescent="0.25">
      <c r="G2119" s="1"/>
    </row>
    <row r="2120" spans="7:7" x14ac:dyDescent="0.25">
      <c r="G2120" s="1"/>
    </row>
    <row r="2121" spans="7:7" x14ac:dyDescent="0.25">
      <c r="G2121" s="1"/>
    </row>
    <row r="2122" spans="7:7" x14ac:dyDescent="0.25">
      <c r="G2122" s="1"/>
    </row>
    <row r="2123" spans="7:7" x14ac:dyDescent="0.25">
      <c r="G2123" s="1"/>
    </row>
    <row r="2124" spans="7:7" x14ac:dyDescent="0.25">
      <c r="G2124" s="1"/>
    </row>
    <row r="2125" spans="7:7" x14ac:dyDescent="0.25">
      <c r="G2125" s="1"/>
    </row>
    <row r="2126" spans="7:7" x14ac:dyDescent="0.25">
      <c r="G2126" s="1"/>
    </row>
    <row r="2127" spans="7:7" x14ac:dyDescent="0.25">
      <c r="G2127" s="1"/>
    </row>
    <row r="2128" spans="7:7" x14ac:dyDescent="0.25">
      <c r="G2128" s="1"/>
    </row>
    <row r="2129" spans="7:7" x14ac:dyDescent="0.25">
      <c r="G2129" s="1"/>
    </row>
    <row r="2130" spans="7:7" x14ac:dyDescent="0.25">
      <c r="G2130" s="1"/>
    </row>
    <row r="2131" spans="7:7" x14ac:dyDescent="0.25">
      <c r="G2131" s="1"/>
    </row>
    <row r="2132" spans="7:7" x14ac:dyDescent="0.25">
      <c r="G2132" s="1"/>
    </row>
    <row r="2133" spans="7:7" x14ac:dyDescent="0.25">
      <c r="G2133" s="1"/>
    </row>
    <row r="2134" spans="7:7" x14ac:dyDescent="0.25">
      <c r="G2134" s="1"/>
    </row>
    <row r="2135" spans="7:7" x14ac:dyDescent="0.25">
      <c r="G2135" s="1"/>
    </row>
    <row r="2136" spans="7:7" x14ac:dyDescent="0.25">
      <c r="G2136" s="1"/>
    </row>
    <row r="2137" spans="7:7" x14ac:dyDescent="0.25">
      <c r="G2137" s="1"/>
    </row>
    <row r="2138" spans="7:7" x14ac:dyDescent="0.25">
      <c r="G2138" s="1"/>
    </row>
    <row r="2139" spans="7:7" x14ac:dyDescent="0.25">
      <c r="G2139" s="1"/>
    </row>
    <row r="2140" spans="7:7" x14ac:dyDescent="0.25">
      <c r="G2140" s="1"/>
    </row>
    <row r="2141" spans="7:7" x14ac:dyDescent="0.25">
      <c r="G2141" s="1"/>
    </row>
    <row r="2142" spans="7:7" x14ac:dyDescent="0.25">
      <c r="G2142" s="1"/>
    </row>
    <row r="2143" spans="7:7" x14ac:dyDescent="0.25">
      <c r="G2143" s="1"/>
    </row>
    <row r="2144" spans="7:7" x14ac:dyDescent="0.25">
      <c r="G2144" s="1"/>
    </row>
    <row r="2145" spans="7:7" x14ac:dyDescent="0.25">
      <c r="G2145" s="1"/>
    </row>
    <row r="2146" spans="7:7" x14ac:dyDescent="0.25">
      <c r="G2146" s="1"/>
    </row>
    <row r="2147" spans="7:7" x14ac:dyDescent="0.25">
      <c r="G2147" s="1"/>
    </row>
    <row r="2148" spans="7:7" x14ac:dyDescent="0.25">
      <c r="G2148" s="1"/>
    </row>
    <row r="2149" spans="7:7" x14ac:dyDescent="0.25">
      <c r="G2149" s="1"/>
    </row>
    <row r="2150" spans="7:7" x14ac:dyDescent="0.25">
      <c r="G2150" s="1"/>
    </row>
    <row r="2151" spans="7:7" x14ac:dyDescent="0.25">
      <c r="G2151" s="1"/>
    </row>
    <row r="2152" spans="7:7" x14ac:dyDescent="0.25">
      <c r="G2152" s="1"/>
    </row>
    <row r="2153" spans="7:7" x14ac:dyDescent="0.25">
      <c r="G2153" s="1"/>
    </row>
    <row r="2154" spans="7:7" x14ac:dyDescent="0.25">
      <c r="G2154" s="1"/>
    </row>
    <row r="2155" spans="7:7" x14ac:dyDescent="0.25">
      <c r="G2155" s="1"/>
    </row>
    <row r="2156" spans="7:7" x14ac:dyDescent="0.25">
      <c r="G2156" s="1"/>
    </row>
    <row r="2157" spans="7:7" x14ac:dyDescent="0.25">
      <c r="G2157" s="1"/>
    </row>
    <row r="2158" spans="7:7" x14ac:dyDescent="0.25">
      <c r="G2158" s="1"/>
    </row>
    <row r="2159" spans="7:7" x14ac:dyDescent="0.25">
      <c r="G2159" s="1"/>
    </row>
    <row r="2160" spans="7:7" x14ac:dyDescent="0.25">
      <c r="G2160" s="1"/>
    </row>
    <row r="2161" spans="7:7" x14ac:dyDescent="0.25">
      <c r="G2161" s="1"/>
    </row>
    <row r="2162" spans="7:7" x14ac:dyDescent="0.25">
      <c r="G2162" s="1"/>
    </row>
    <row r="2163" spans="7:7" x14ac:dyDescent="0.25">
      <c r="G2163" s="1"/>
    </row>
    <row r="2164" spans="7:7" x14ac:dyDescent="0.25">
      <c r="G2164" s="1"/>
    </row>
    <row r="2165" spans="7:7" x14ac:dyDescent="0.25">
      <c r="G2165" s="1"/>
    </row>
    <row r="2166" spans="7:7" x14ac:dyDescent="0.25">
      <c r="G2166" s="1"/>
    </row>
    <row r="2167" spans="7:7" x14ac:dyDescent="0.25">
      <c r="G2167" s="1"/>
    </row>
    <row r="2168" spans="7:7" x14ac:dyDescent="0.25">
      <c r="G2168" s="1"/>
    </row>
    <row r="2169" spans="7:7" x14ac:dyDescent="0.25">
      <c r="G2169" s="1"/>
    </row>
    <row r="2170" spans="7:7" x14ac:dyDescent="0.25">
      <c r="G2170" s="1"/>
    </row>
    <row r="2171" spans="7:7" x14ac:dyDescent="0.25">
      <c r="G2171" s="1"/>
    </row>
    <row r="2172" spans="7:7" x14ac:dyDescent="0.25">
      <c r="G2172" s="1"/>
    </row>
    <row r="2173" spans="7:7" x14ac:dyDescent="0.25">
      <c r="G2173" s="1"/>
    </row>
    <row r="2174" spans="7:7" x14ac:dyDescent="0.25">
      <c r="G2174" s="1"/>
    </row>
    <row r="2175" spans="7:7" x14ac:dyDescent="0.25">
      <c r="G2175" s="1"/>
    </row>
    <row r="2176" spans="7:7" x14ac:dyDescent="0.25">
      <c r="G2176" s="1"/>
    </row>
    <row r="2177" spans="7:7" x14ac:dyDescent="0.25">
      <c r="G2177" s="1"/>
    </row>
    <row r="2178" spans="7:7" x14ac:dyDescent="0.25">
      <c r="G2178" s="1"/>
    </row>
    <row r="2179" spans="7:7" x14ac:dyDescent="0.25">
      <c r="G2179" s="1"/>
    </row>
    <row r="2180" spans="7:7" x14ac:dyDescent="0.25">
      <c r="G2180" s="1"/>
    </row>
    <row r="2181" spans="7:7" x14ac:dyDescent="0.25">
      <c r="G2181" s="1"/>
    </row>
    <row r="2182" spans="7:7" x14ac:dyDescent="0.25">
      <c r="G2182" s="1"/>
    </row>
    <row r="2183" spans="7:7" x14ac:dyDescent="0.25">
      <c r="G2183" s="1"/>
    </row>
    <row r="2184" spans="7:7" x14ac:dyDescent="0.25">
      <c r="G2184" s="1"/>
    </row>
    <row r="2185" spans="7:7" x14ac:dyDescent="0.25">
      <c r="G2185" s="1"/>
    </row>
    <row r="2186" spans="7:7" x14ac:dyDescent="0.25">
      <c r="G2186" s="1"/>
    </row>
    <row r="2187" spans="7:7" x14ac:dyDescent="0.25">
      <c r="G2187" s="1"/>
    </row>
    <row r="2188" spans="7:7" x14ac:dyDescent="0.25">
      <c r="G2188" s="1"/>
    </row>
    <row r="2189" spans="7:7" x14ac:dyDescent="0.25">
      <c r="G2189" s="1"/>
    </row>
    <row r="2190" spans="7:7" x14ac:dyDescent="0.25">
      <c r="G2190" s="1"/>
    </row>
    <row r="2191" spans="7:7" x14ac:dyDescent="0.25">
      <c r="G2191" s="1"/>
    </row>
    <row r="2192" spans="7:7" x14ac:dyDescent="0.25">
      <c r="G2192" s="1"/>
    </row>
    <row r="2193" spans="7:7" x14ac:dyDescent="0.25">
      <c r="G2193" s="1"/>
    </row>
    <row r="2194" spans="7:7" x14ac:dyDescent="0.25">
      <c r="G2194" s="1"/>
    </row>
    <row r="2195" spans="7:7" x14ac:dyDescent="0.25">
      <c r="G2195" s="1"/>
    </row>
    <row r="2196" spans="7:7" x14ac:dyDescent="0.25">
      <c r="G2196" s="1"/>
    </row>
    <row r="2197" spans="7:7" x14ac:dyDescent="0.25">
      <c r="G2197" s="1"/>
    </row>
    <row r="2198" spans="7:7" x14ac:dyDescent="0.25">
      <c r="G2198" s="1"/>
    </row>
    <row r="2199" spans="7:7" x14ac:dyDescent="0.25">
      <c r="G2199" s="1"/>
    </row>
    <row r="2200" spans="7:7" x14ac:dyDescent="0.25">
      <c r="G2200" s="1"/>
    </row>
    <row r="2201" spans="7:7" x14ac:dyDescent="0.25">
      <c r="G2201" s="1"/>
    </row>
    <row r="2202" spans="7:7" x14ac:dyDescent="0.25">
      <c r="G2202" s="1"/>
    </row>
    <row r="2203" spans="7:7" x14ac:dyDescent="0.25">
      <c r="G2203" s="1"/>
    </row>
    <row r="2204" spans="7:7" x14ac:dyDescent="0.25">
      <c r="G2204" s="1"/>
    </row>
    <row r="2205" spans="7:7" x14ac:dyDescent="0.25">
      <c r="G2205" s="1"/>
    </row>
    <row r="2206" spans="7:7" x14ac:dyDescent="0.25">
      <c r="G2206" s="1"/>
    </row>
    <row r="2207" spans="7:7" x14ac:dyDescent="0.25">
      <c r="G2207" s="1"/>
    </row>
    <row r="2208" spans="7:7" x14ac:dyDescent="0.25">
      <c r="G2208" s="1"/>
    </row>
    <row r="2209" spans="7:7" x14ac:dyDescent="0.25">
      <c r="G2209" s="1"/>
    </row>
    <row r="2210" spans="7:7" x14ac:dyDescent="0.25">
      <c r="G2210" s="1"/>
    </row>
    <row r="2211" spans="7:7" x14ac:dyDescent="0.25">
      <c r="G2211" s="1"/>
    </row>
    <row r="2212" spans="7:7" x14ac:dyDescent="0.25">
      <c r="G2212" s="1"/>
    </row>
    <row r="2213" spans="7:7" x14ac:dyDescent="0.25">
      <c r="G2213" s="1"/>
    </row>
    <row r="2214" spans="7:7" x14ac:dyDescent="0.25">
      <c r="G2214" s="1"/>
    </row>
    <row r="2215" spans="7:7" x14ac:dyDescent="0.25">
      <c r="G2215" s="1"/>
    </row>
    <row r="2216" spans="7:7" x14ac:dyDescent="0.25">
      <c r="G2216" s="1"/>
    </row>
    <row r="2217" spans="7:7" x14ac:dyDescent="0.25">
      <c r="G2217" s="1"/>
    </row>
    <row r="2218" spans="7:7" x14ac:dyDescent="0.25">
      <c r="G2218" s="1"/>
    </row>
    <row r="2219" spans="7:7" x14ac:dyDescent="0.25">
      <c r="G2219" s="1"/>
    </row>
    <row r="2220" spans="7:7" x14ac:dyDescent="0.25">
      <c r="G2220" s="1"/>
    </row>
    <row r="2221" spans="7:7" x14ac:dyDescent="0.25">
      <c r="G2221" s="1"/>
    </row>
    <row r="2222" spans="7:7" x14ac:dyDescent="0.25">
      <c r="G2222" s="1"/>
    </row>
    <row r="2223" spans="7:7" x14ac:dyDescent="0.25">
      <c r="G2223" s="1"/>
    </row>
    <row r="2224" spans="7:7" x14ac:dyDescent="0.25">
      <c r="G2224" s="1"/>
    </row>
    <row r="2225" spans="7:7" x14ac:dyDescent="0.25">
      <c r="G2225" s="1"/>
    </row>
    <row r="2226" spans="7:7" x14ac:dyDescent="0.25">
      <c r="G2226" s="1"/>
    </row>
    <row r="2227" spans="7:7" x14ac:dyDescent="0.25">
      <c r="G2227" s="1"/>
    </row>
    <row r="2228" spans="7:7" x14ac:dyDescent="0.25">
      <c r="G2228" s="1"/>
    </row>
    <row r="2229" spans="7:7" x14ac:dyDescent="0.25">
      <c r="G2229" s="1"/>
    </row>
    <row r="2230" spans="7:7" x14ac:dyDescent="0.25">
      <c r="G2230" s="1"/>
    </row>
    <row r="2231" spans="7:7" x14ac:dyDescent="0.25">
      <c r="G2231" s="1"/>
    </row>
    <row r="2232" spans="7:7" x14ac:dyDescent="0.25">
      <c r="G2232" s="1"/>
    </row>
    <row r="2233" spans="7:7" x14ac:dyDescent="0.25">
      <c r="G2233" s="1"/>
    </row>
    <row r="2234" spans="7:7" x14ac:dyDescent="0.25">
      <c r="G2234" s="1"/>
    </row>
    <row r="2235" spans="7:7" x14ac:dyDescent="0.25">
      <c r="G2235" s="1"/>
    </row>
    <row r="2236" spans="7:7" x14ac:dyDescent="0.25">
      <c r="G2236" s="1"/>
    </row>
    <row r="2237" spans="7:7" x14ac:dyDescent="0.25">
      <c r="G2237" s="1"/>
    </row>
    <row r="2238" spans="7:7" x14ac:dyDescent="0.25">
      <c r="G2238" s="1"/>
    </row>
    <row r="2239" spans="7:7" x14ac:dyDescent="0.25">
      <c r="G2239" s="1"/>
    </row>
    <row r="2240" spans="7:7" x14ac:dyDescent="0.25">
      <c r="G2240" s="1"/>
    </row>
    <row r="2241" spans="7:7" x14ac:dyDescent="0.25">
      <c r="G2241" s="1"/>
    </row>
    <row r="2242" spans="7:7" x14ac:dyDescent="0.25">
      <c r="G2242" s="1"/>
    </row>
    <row r="2243" spans="7:7" x14ac:dyDescent="0.25">
      <c r="G2243" s="1"/>
    </row>
    <row r="2244" spans="7:7" x14ac:dyDescent="0.25">
      <c r="G2244" s="1"/>
    </row>
    <row r="2245" spans="7:7" x14ac:dyDescent="0.25">
      <c r="G2245" s="1"/>
    </row>
    <row r="2246" spans="7:7" x14ac:dyDescent="0.25">
      <c r="G2246" s="1"/>
    </row>
    <row r="2247" spans="7:7" x14ac:dyDescent="0.25">
      <c r="G2247" s="1"/>
    </row>
    <row r="2248" spans="7:7" x14ac:dyDescent="0.25">
      <c r="G2248" s="1"/>
    </row>
    <row r="2249" spans="7:7" x14ac:dyDescent="0.25">
      <c r="G2249" s="1"/>
    </row>
    <row r="2250" spans="7:7" x14ac:dyDescent="0.25">
      <c r="G2250" s="1"/>
    </row>
    <row r="2251" spans="7:7" x14ac:dyDescent="0.25">
      <c r="G2251" s="1"/>
    </row>
    <row r="2252" spans="7:7" x14ac:dyDescent="0.25">
      <c r="G2252" s="1"/>
    </row>
    <row r="2253" spans="7:7" x14ac:dyDescent="0.25">
      <c r="G2253" s="1"/>
    </row>
    <row r="2254" spans="7:7" x14ac:dyDescent="0.25">
      <c r="G2254" s="1"/>
    </row>
    <row r="2255" spans="7:7" x14ac:dyDescent="0.25">
      <c r="G2255" s="1"/>
    </row>
    <row r="2256" spans="7:7" x14ac:dyDescent="0.25">
      <c r="G2256" s="1"/>
    </row>
    <row r="2257" spans="7:7" x14ac:dyDescent="0.25">
      <c r="G2257" s="1"/>
    </row>
    <row r="2258" spans="7:7" x14ac:dyDescent="0.25">
      <c r="G2258" s="1"/>
    </row>
    <row r="2259" spans="7:7" x14ac:dyDescent="0.25">
      <c r="G2259" s="1"/>
    </row>
    <row r="2260" spans="7:7" x14ac:dyDescent="0.25">
      <c r="G2260" s="1"/>
    </row>
    <row r="2261" spans="7:7" x14ac:dyDescent="0.25">
      <c r="G2261" s="1"/>
    </row>
    <row r="2262" spans="7:7" x14ac:dyDescent="0.25">
      <c r="G2262" s="1"/>
    </row>
    <row r="2263" spans="7:7" x14ac:dyDescent="0.25">
      <c r="G2263" s="1"/>
    </row>
    <row r="2264" spans="7:7" x14ac:dyDescent="0.25">
      <c r="G2264" s="1"/>
    </row>
    <row r="2265" spans="7:7" x14ac:dyDescent="0.25">
      <c r="G2265" s="1"/>
    </row>
    <row r="2266" spans="7:7" x14ac:dyDescent="0.25">
      <c r="G2266" s="1"/>
    </row>
    <row r="2267" spans="7:7" x14ac:dyDescent="0.25">
      <c r="G2267" s="1"/>
    </row>
    <row r="2268" spans="7:7" x14ac:dyDescent="0.25">
      <c r="G2268" s="1"/>
    </row>
    <row r="2269" spans="7:7" x14ac:dyDescent="0.25">
      <c r="G2269" s="1"/>
    </row>
    <row r="2270" spans="7:7" x14ac:dyDescent="0.25">
      <c r="G2270" s="1"/>
    </row>
    <row r="2271" spans="7:7" x14ac:dyDescent="0.25">
      <c r="G2271" s="1"/>
    </row>
    <row r="2272" spans="7:7" x14ac:dyDescent="0.25">
      <c r="G2272" s="1"/>
    </row>
    <row r="2273" spans="7:7" x14ac:dyDescent="0.25">
      <c r="G2273" s="1"/>
    </row>
    <row r="2274" spans="7:7" x14ac:dyDescent="0.25">
      <c r="G2274" s="1"/>
    </row>
    <row r="2275" spans="7:7" x14ac:dyDescent="0.25">
      <c r="G2275" s="1"/>
    </row>
    <row r="2276" spans="7:7" x14ac:dyDescent="0.25">
      <c r="G2276" s="1"/>
    </row>
    <row r="2277" spans="7:7" x14ac:dyDescent="0.25">
      <c r="G2277" s="1"/>
    </row>
    <row r="2278" spans="7:7" x14ac:dyDescent="0.25">
      <c r="G2278" s="1"/>
    </row>
    <row r="2279" spans="7:7" x14ac:dyDescent="0.25">
      <c r="G2279" s="1"/>
    </row>
    <row r="2280" spans="7:7" x14ac:dyDescent="0.25">
      <c r="G2280" s="1"/>
    </row>
    <row r="2281" spans="7:7" x14ac:dyDescent="0.25">
      <c r="G2281" s="1"/>
    </row>
    <row r="2282" spans="7:7" x14ac:dyDescent="0.25">
      <c r="G2282" s="1"/>
    </row>
    <row r="2283" spans="7:7" x14ac:dyDescent="0.25">
      <c r="G2283" s="1"/>
    </row>
    <row r="2284" spans="7:7" x14ac:dyDescent="0.25">
      <c r="G2284" s="1"/>
    </row>
    <row r="2285" spans="7:7" x14ac:dyDescent="0.25">
      <c r="G2285" s="1"/>
    </row>
    <row r="2286" spans="7:7" x14ac:dyDescent="0.25">
      <c r="G2286" s="1"/>
    </row>
    <row r="2287" spans="7:7" x14ac:dyDescent="0.25">
      <c r="G2287" s="1"/>
    </row>
    <row r="2288" spans="7:7" x14ac:dyDescent="0.25">
      <c r="G2288" s="1"/>
    </row>
    <row r="2289" spans="7:7" x14ac:dyDescent="0.25">
      <c r="G2289" s="1"/>
    </row>
    <row r="2290" spans="7:7" x14ac:dyDescent="0.25">
      <c r="G2290" s="1"/>
    </row>
    <row r="2291" spans="7:7" x14ac:dyDescent="0.25">
      <c r="G2291" s="1"/>
    </row>
    <row r="2292" spans="7:7" x14ac:dyDescent="0.25">
      <c r="G2292" s="1"/>
    </row>
    <row r="2293" spans="7:7" x14ac:dyDescent="0.25">
      <c r="G2293" s="1"/>
    </row>
    <row r="2294" spans="7:7" x14ac:dyDescent="0.25">
      <c r="G2294" s="1"/>
    </row>
    <row r="2295" spans="7:7" x14ac:dyDescent="0.25">
      <c r="G2295" s="1"/>
    </row>
    <row r="2296" spans="7:7" x14ac:dyDescent="0.25">
      <c r="G2296" s="1"/>
    </row>
    <row r="2297" spans="7:7" x14ac:dyDescent="0.25">
      <c r="G2297" s="1"/>
    </row>
    <row r="2298" spans="7:7" x14ac:dyDescent="0.25">
      <c r="G2298" s="1"/>
    </row>
    <row r="2299" spans="7:7" x14ac:dyDescent="0.25">
      <c r="G2299" s="1"/>
    </row>
    <row r="2300" spans="7:7" x14ac:dyDescent="0.25">
      <c r="G2300" s="1"/>
    </row>
    <row r="2301" spans="7:7" x14ac:dyDescent="0.25">
      <c r="G2301" s="1"/>
    </row>
    <row r="2302" spans="7:7" x14ac:dyDescent="0.25">
      <c r="G2302" s="1"/>
    </row>
    <row r="2303" spans="7:7" x14ac:dyDescent="0.25">
      <c r="G2303" s="1"/>
    </row>
    <row r="2304" spans="7:7" x14ac:dyDescent="0.25">
      <c r="G2304" s="1"/>
    </row>
    <row r="2305" spans="7:7" x14ac:dyDescent="0.25">
      <c r="G2305" s="1"/>
    </row>
    <row r="2306" spans="7:7" x14ac:dyDescent="0.25">
      <c r="G2306" s="1"/>
    </row>
    <row r="2307" spans="7:7" x14ac:dyDescent="0.25">
      <c r="G2307" s="1"/>
    </row>
    <row r="2308" spans="7:7" x14ac:dyDescent="0.25">
      <c r="G2308" s="1"/>
    </row>
    <row r="2309" spans="7:7" x14ac:dyDescent="0.25">
      <c r="G2309" s="1"/>
    </row>
    <row r="2310" spans="7:7" x14ac:dyDescent="0.25">
      <c r="G2310" s="1"/>
    </row>
    <row r="2311" spans="7:7" x14ac:dyDescent="0.25">
      <c r="G2311" s="1"/>
    </row>
    <row r="2312" spans="7:7" x14ac:dyDescent="0.25">
      <c r="G2312" s="1"/>
    </row>
    <row r="2313" spans="7:7" x14ac:dyDescent="0.25">
      <c r="G2313" s="1"/>
    </row>
    <row r="2314" spans="7:7" x14ac:dyDescent="0.25">
      <c r="G2314" s="1"/>
    </row>
    <row r="2315" spans="7:7" x14ac:dyDescent="0.25">
      <c r="G2315" s="1"/>
    </row>
    <row r="2316" spans="7:7" x14ac:dyDescent="0.25">
      <c r="G2316" s="1"/>
    </row>
    <row r="2317" spans="7:7" x14ac:dyDescent="0.25">
      <c r="G2317" s="1"/>
    </row>
    <row r="2318" spans="7:7" x14ac:dyDescent="0.25">
      <c r="G2318" s="1"/>
    </row>
    <row r="2319" spans="7:7" x14ac:dyDescent="0.25">
      <c r="G2319" s="1"/>
    </row>
    <row r="2320" spans="7:7" x14ac:dyDescent="0.25">
      <c r="G2320" s="1"/>
    </row>
    <row r="2321" spans="7:7" x14ac:dyDescent="0.25">
      <c r="G2321" s="1"/>
    </row>
    <row r="2322" spans="7:7" x14ac:dyDescent="0.25">
      <c r="G2322" s="1"/>
    </row>
    <row r="2323" spans="7:7" x14ac:dyDescent="0.25">
      <c r="G2323" s="1"/>
    </row>
    <row r="2324" spans="7:7" x14ac:dyDescent="0.25">
      <c r="G2324" s="1"/>
    </row>
    <row r="2325" spans="7:7" x14ac:dyDescent="0.25">
      <c r="G2325" s="1"/>
    </row>
    <row r="2326" spans="7:7" x14ac:dyDescent="0.25">
      <c r="G2326" s="1"/>
    </row>
    <row r="2327" spans="7:7" x14ac:dyDescent="0.25">
      <c r="G2327" s="1"/>
    </row>
    <row r="2328" spans="7:7" x14ac:dyDescent="0.25">
      <c r="G2328" s="1"/>
    </row>
    <row r="2329" spans="7:7" x14ac:dyDescent="0.25">
      <c r="G2329" s="1"/>
    </row>
    <row r="2330" spans="7:7" x14ac:dyDescent="0.25">
      <c r="G2330" s="1"/>
    </row>
    <row r="2331" spans="7:7" x14ac:dyDescent="0.25">
      <c r="G2331" s="1"/>
    </row>
    <row r="2332" spans="7:7" x14ac:dyDescent="0.25">
      <c r="G2332" s="1"/>
    </row>
    <row r="2333" spans="7:7" x14ac:dyDescent="0.25">
      <c r="G2333" s="1"/>
    </row>
    <row r="2334" spans="7:7" x14ac:dyDescent="0.25">
      <c r="G2334" s="1"/>
    </row>
    <row r="2335" spans="7:7" x14ac:dyDescent="0.25">
      <c r="G2335" s="1"/>
    </row>
    <row r="2336" spans="7:7" x14ac:dyDescent="0.25">
      <c r="G2336" s="1"/>
    </row>
    <row r="2337" spans="7:7" x14ac:dyDescent="0.25">
      <c r="G2337" s="1"/>
    </row>
    <row r="2338" spans="7:7" x14ac:dyDescent="0.25">
      <c r="G2338" s="1"/>
    </row>
    <row r="2339" spans="7:7" x14ac:dyDescent="0.25">
      <c r="G2339" s="1"/>
    </row>
    <row r="2340" spans="7:7" x14ac:dyDescent="0.25">
      <c r="G2340" s="1"/>
    </row>
    <row r="2341" spans="7:7" x14ac:dyDescent="0.25">
      <c r="G2341" s="1"/>
    </row>
    <row r="2342" spans="7:7" x14ac:dyDescent="0.25">
      <c r="G2342" s="1"/>
    </row>
    <row r="2343" spans="7:7" x14ac:dyDescent="0.25">
      <c r="G2343" s="1"/>
    </row>
    <row r="2344" spans="7:7" x14ac:dyDescent="0.25">
      <c r="G2344" s="1"/>
    </row>
    <row r="2345" spans="7:7" x14ac:dyDescent="0.25">
      <c r="G2345" s="1"/>
    </row>
    <row r="2346" spans="7:7" x14ac:dyDescent="0.25">
      <c r="G2346" s="1"/>
    </row>
    <row r="2347" spans="7:7" x14ac:dyDescent="0.25">
      <c r="G2347" s="1"/>
    </row>
    <row r="2348" spans="7:7" x14ac:dyDescent="0.25">
      <c r="G2348" s="1"/>
    </row>
    <row r="2349" spans="7:7" x14ac:dyDescent="0.25">
      <c r="G2349" s="1"/>
    </row>
    <row r="2350" spans="7:7" x14ac:dyDescent="0.25">
      <c r="G2350" s="1"/>
    </row>
    <row r="2351" spans="7:7" x14ac:dyDescent="0.25">
      <c r="G2351" s="1"/>
    </row>
    <row r="2352" spans="7:7" x14ac:dyDescent="0.25">
      <c r="G2352" s="1"/>
    </row>
    <row r="2353" spans="7:7" x14ac:dyDescent="0.25">
      <c r="G2353" s="1"/>
    </row>
    <row r="2354" spans="7:7" x14ac:dyDescent="0.25">
      <c r="G2354" s="1"/>
    </row>
    <row r="2355" spans="7:7" x14ac:dyDescent="0.25">
      <c r="G2355" s="1"/>
    </row>
    <row r="2356" spans="7:7" x14ac:dyDescent="0.25">
      <c r="G2356" s="1"/>
    </row>
    <row r="2357" spans="7:7" x14ac:dyDescent="0.25">
      <c r="G2357" s="1"/>
    </row>
    <row r="2358" spans="7:7" x14ac:dyDescent="0.25">
      <c r="G2358" s="1"/>
    </row>
    <row r="2359" spans="7:7" x14ac:dyDescent="0.25">
      <c r="G2359" s="1"/>
    </row>
    <row r="2360" spans="7:7" x14ac:dyDescent="0.25">
      <c r="G2360" s="1"/>
    </row>
    <row r="2361" spans="7:7" x14ac:dyDescent="0.25">
      <c r="G2361" s="1"/>
    </row>
    <row r="2362" spans="7:7" x14ac:dyDescent="0.25">
      <c r="G2362" s="1"/>
    </row>
    <row r="2363" spans="7:7" x14ac:dyDescent="0.25">
      <c r="G2363" s="1"/>
    </row>
    <row r="2364" spans="7:7" x14ac:dyDescent="0.25">
      <c r="G2364" s="1"/>
    </row>
    <row r="2365" spans="7:7" x14ac:dyDescent="0.25">
      <c r="G2365" s="1"/>
    </row>
    <row r="2366" spans="7:7" x14ac:dyDescent="0.25">
      <c r="G2366" s="1"/>
    </row>
    <row r="2367" spans="7:7" x14ac:dyDescent="0.25">
      <c r="G2367" s="1"/>
    </row>
    <row r="2368" spans="7:7" x14ac:dyDescent="0.25">
      <c r="G2368" s="1"/>
    </row>
    <row r="2369" spans="7:7" x14ac:dyDescent="0.25">
      <c r="G2369" s="1"/>
    </row>
    <row r="2370" spans="7:7" x14ac:dyDescent="0.25">
      <c r="G2370" s="1"/>
    </row>
    <row r="2371" spans="7:7" x14ac:dyDescent="0.25">
      <c r="G2371" s="1"/>
    </row>
    <row r="2372" spans="7:7" x14ac:dyDescent="0.25">
      <c r="G2372" s="1"/>
    </row>
    <row r="2373" spans="7:7" x14ac:dyDescent="0.25">
      <c r="G2373" s="1"/>
    </row>
    <row r="2374" spans="7:7" x14ac:dyDescent="0.25">
      <c r="G2374" s="1"/>
    </row>
    <row r="2375" spans="7:7" x14ac:dyDescent="0.25">
      <c r="G2375" s="1"/>
    </row>
    <row r="2376" spans="7:7" x14ac:dyDescent="0.25">
      <c r="G2376" s="1"/>
    </row>
    <row r="2377" spans="7:7" x14ac:dyDescent="0.25">
      <c r="G2377" s="1"/>
    </row>
    <row r="2378" spans="7:7" x14ac:dyDescent="0.25">
      <c r="G2378" s="1"/>
    </row>
    <row r="2379" spans="7:7" x14ac:dyDescent="0.25">
      <c r="G2379" s="1"/>
    </row>
    <row r="2380" spans="7:7" x14ac:dyDescent="0.25">
      <c r="G2380" s="1"/>
    </row>
    <row r="2381" spans="7:7" x14ac:dyDescent="0.25">
      <c r="G2381" s="1"/>
    </row>
    <row r="2382" spans="7:7" x14ac:dyDescent="0.25">
      <c r="G2382" s="1"/>
    </row>
    <row r="2383" spans="7:7" x14ac:dyDescent="0.25">
      <c r="G2383" s="1"/>
    </row>
    <row r="2384" spans="7:7" x14ac:dyDescent="0.25">
      <c r="G2384" s="1"/>
    </row>
    <row r="2385" spans="7:7" x14ac:dyDescent="0.25">
      <c r="G2385" s="1"/>
    </row>
    <row r="2386" spans="7:7" x14ac:dyDescent="0.25">
      <c r="G2386" s="1"/>
    </row>
    <row r="2387" spans="7:7" x14ac:dyDescent="0.25">
      <c r="G2387" s="1"/>
    </row>
    <row r="2388" spans="7:7" x14ac:dyDescent="0.25">
      <c r="G2388" s="1"/>
    </row>
    <row r="2389" spans="7:7" x14ac:dyDescent="0.25">
      <c r="G2389" s="1"/>
    </row>
    <row r="2390" spans="7:7" x14ac:dyDescent="0.25">
      <c r="G2390" s="1"/>
    </row>
    <row r="2391" spans="7:7" x14ac:dyDescent="0.25">
      <c r="G2391" s="1"/>
    </row>
    <row r="2392" spans="7:7" x14ac:dyDescent="0.25">
      <c r="G2392" s="1"/>
    </row>
    <row r="2393" spans="7:7" x14ac:dyDescent="0.25">
      <c r="G2393" s="1"/>
    </row>
    <row r="2394" spans="7:7" x14ac:dyDescent="0.25">
      <c r="G2394" s="1"/>
    </row>
    <row r="2395" spans="7:7" x14ac:dyDescent="0.25">
      <c r="G2395" s="1"/>
    </row>
    <row r="2396" spans="7:7" x14ac:dyDescent="0.25">
      <c r="G2396" s="1"/>
    </row>
    <row r="2397" spans="7:7" x14ac:dyDescent="0.25">
      <c r="G2397" s="1"/>
    </row>
    <row r="2398" spans="7:7" x14ac:dyDescent="0.25">
      <c r="G2398" s="1"/>
    </row>
    <row r="2399" spans="7:7" x14ac:dyDescent="0.25">
      <c r="G2399" s="1"/>
    </row>
    <row r="2400" spans="7:7" x14ac:dyDescent="0.25">
      <c r="G2400" s="1"/>
    </row>
    <row r="2401" spans="7:7" x14ac:dyDescent="0.25">
      <c r="G2401" s="1"/>
    </row>
    <row r="2402" spans="7:7" x14ac:dyDescent="0.25">
      <c r="G2402" s="1"/>
    </row>
    <row r="2403" spans="7:7" x14ac:dyDescent="0.25">
      <c r="G2403" s="1"/>
    </row>
    <row r="2404" spans="7:7" x14ac:dyDescent="0.25">
      <c r="G2404" s="1"/>
    </row>
    <row r="2405" spans="7:7" x14ac:dyDescent="0.25">
      <c r="G2405" s="1"/>
    </row>
    <row r="2406" spans="7:7" x14ac:dyDescent="0.25">
      <c r="G2406" s="1"/>
    </row>
    <row r="2407" spans="7:7" x14ac:dyDescent="0.25">
      <c r="G2407" s="1"/>
    </row>
    <row r="2408" spans="7:7" x14ac:dyDescent="0.25">
      <c r="G2408" s="1"/>
    </row>
    <row r="2409" spans="7:7" x14ac:dyDescent="0.25">
      <c r="G2409" s="1"/>
    </row>
    <row r="2410" spans="7:7" x14ac:dyDescent="0.25">
      <c r="G2410" s="1"/>
    </row>
    <row r="2411" spans="7:7" x14ac:dyDescent="0.25">
      <c r="G2411" s="1"/>
    </row>
    <row r="2412" spans="7:7" x14ac:dyDescent="0.25">
      <c r="G2412" s="1"/>
    </row>
    <row r="2413" spans="7:7" x14ac:dyDescent="0.25">
      <c r="G2413" s="1"/>
    </row>
    <row r="2414" spans="7:7" x14ac:dyDescent="0.25">
      <c r="G2414" s="1"/>
    </row>
    <row r="2415" spans="7:7" x14ac:dyDescent="0.25">
      <c r="G2415" s="1"/>
    </row>
    <row r="2416" spans="7:7" x14ac:dyDescent="0.25">
      <c r="G2416" s="1"/>
    </row>
    <row r="2417" spans="7:7" x14ac:dyDescent="0.25">
      <c r="G2417" s="1"/>
    </row>
    <row r="2418" spans="7:7" x14ac:dyDescent="0.25">
      <c r="G2418" s="1"/>
    </row>
    <row r="2419" spans="7:7" x14ac:dyDescent="0.25">
      <c r="G2419" s="1"/>
    </row>
    <row r="2420" spans="7:7" x14ac:dyDescent="0.25">
      <c r="G2420" s="1"/>
    </row>
    <row r="2421" spans="7:7" x14ac:dyDescent="0.25">
      <c r="G2421" s="1"/>
    </row>
    <row r="2422" spans="7:7" x14ac:dyDescent="0.25">
      <c r="G2422" s="1"/>
    </row>
    <row r="2423" spans="7:7" x14ac:dyDescent="0.25">
      <c r="G2423" s="1"/>
    </row>
    <row r="2424" spans="7:7" x14ac:dyDescent="0.25">
      <c r="G2424" s="1"/>
    </row>
    <row r="2425" spans="7:7" x14ac:dyDescent="0.25">
      <c r="G2425" s="1"/>
    </row>
    <row r="2426" spans="7:7" x14ac:dyDescent="0.25">
      <c r="G2426" s="1"/>
    </row>
    <row r="2427" spans="7:7" x14ac:dyDescent="0.25">
      <c r="G2427" s="1"/>
    </row>
    <row r="2428" spans="7:7" x14ac:dyDescent="0.25">
      <c r="G2428" s="1"/>
    </row>
    <row r="2429" spans="7:7" x14ac:dyDescent="0.25">
      <c r="G2429" s="1"/>
    </row>
    <row r="2430" spans="7:7" x14ac:dyDescent="0.25">
      <c r="G2430" s="1"/>
    </row>
    <row r="2431" spans="7:7" x14ac:dyDescent="0.25">
      <c r="G2431" s="1"/>
    </row>
    <row r="2432" spans="7:7" x14ac:dyDescent="0.25">
      <c r="G2432" s="1"/>
    </row>
    <row r="2433" spans="7:7" x14ac:dyDescent="0.25">
      <c r="G2433" s="1"/>
    </row>
    <row r="2434" spans="7:7" x14ac:dyDescent="0.25">
      <c r="G2434" s="1"/>
    </row>
    <row r="2435" spans="7:7" x14ac:dyDescent="0.25">
      <c r="G2435" s="1"/>
    </row>
    <row r="2436" spans="7:7" x14ac:dyDescent="0.25">
      <c r="G2436" s="1"/>
    </row>
    <row r="2437" spans="7:7" x14ac:dyDescent="0.25">
      <c r="G2437" s="1"/>
    </row>
    <row r="2438" spans="7:7" x14ac:dyDescent="0.25">
      <c r="G2438" s="1"/>
    </row>
    <row r="2439" spans="7:7" x14ac:dyDescent="0.25">
      <c r="G2439" s="1"/>
    </row>
    <row r="2440" spans="7:7" x14ac:dyDescent="0.25">
      <c r="G2440" s="1"/>
    </row>
    <row r="2441" spans="7:7" x14ac:dyDescent="0.25">
      <c r="G2441" s="1"/>
    </row>
    <row r="2442" spans="7:7" x14ac:dyDescent="0.25">
      <c r="G2442" s="1"/>
    </row>
    <row r="2443" spans="7:7" x14ac:dyDescent="0.25">
      <c r="G2443" s="1"/>
    </row>
    <row r="2444" spans="7:7" x14ac:dyDescent="0.25">
      <c r="G2444" s="1"/>
    </row>
    <row r="2445" spans="7:7" x14ac:dyDescent="0.25">
      <c r="G2445" s="1"/>
    </row>
    <row r="2446" spans="7:7" x14ac:dyDescent="0.25">
      <c r="G2446" s="1"/>
    </row>
    <row r="2447" spans="7:7" x14ac:dyDescent="0.25">
      <c r="G2447" s="1"/>
    </row>
    <row r="2448" spans="7:7" x14ac:dyDescent="0.25">
      <c r="G2448" s="1"/>
    </row>
    <row r="2449" spans="7:7" x14ac:dyDescent="0.25">
      <c r="G2449" s="1"/>
    </row>
    <row r="2450" spans="7:7" x14ac:dyDescent="0.25">
      <c r="G2450" s="1"/>
    </row>
    <row r="2451" spans="7:7" x14ac:dyDescent="0.25">
      <c r="G2451" s="1"/>
    </row>
    <row r="2452" spans="7:7" x14ac:dyDescent="0.25">
      <c r="G2452" s="1"/>
    </row>
    <row r="2453" spans="7:7" x14ac:dyDescent="0.25">
      <c r="G2453" s="1"/>
    </row>
    <row r="2454" spans="7:7" x14ac:dyDescent="0.25">
      <c r="G2454" s="1"/>
    </row>
    <row r="2455" spans="7:7" x14ac:dyDescent="0.25">
      <c r="G2455" s="1"/>
    </row>
    <row r="2456" spans="7:7" x14ac:dyDescent="0.25">
      <c r="G2456" s="1"/>
    </row>
    <row r="2457" spans="7:7" x14ac:dyDescent="0.25">
      <c r="G2457" s="1"/>
    </row>
    <row r="2458" spans="7:7" x14ac:dyDescent="0.25">
      <c r="G2458" s="1"/>
    </row>
    <row r="2459" spans="7:7" x14ac:dyDescent="0.25">
      <c r="G2459" s="1"/>
    </row>
    <row r="2460" spans="7:7" x14ac:dyDescent="0.25">
      <c r="G2460" s="1"/>
    </row>
    <row r="2461" spans="7:7" x14ac:dyDescent="0.25">
      <c r="G2461" s="1"/>
    </row>
    <row r="2462" spans="7:7" x14ac:dyDescent="0.25">
      <c r="G2462" s="1"/>
    </row>
    <row r="2463" spans="7:7" x14ac:dyDescent="0.25">
      <c r="G2463" s="1"/>
    </row>
    <row r="2464" spans="7:7" x14ac:dyDescent="0.25">
      <c r="G2464" s="1"/>
    </row>
    <row r="2465" spans="7:7" x14ac:dyDescent="0.25">
      <c r="G2465" s="1"/>
    </row>
    <row r="2466" spans="7:7" x14ac:dyDescent="0.25">
      <c r="G2466" s="1"/>
    </row>
    <row r="2467" spans="7:7" x14ac:dyDescent="0.25">
      <c r="G2467" s="1"/>
    </row>
    <row r="2468" spans="7:7" x14ac:dyDescent="0.25">
      <c r="G2468" s="1"/>
    </row>
    <row r="2469" spans="7:7" x14ac:dyDescent="0.25">
      <c r="G2469" s="1"/>
    </row>
    <row r="2470" spans="7:7" x14ac:dyDescent="0.25">
      <c r="G2470" s="1"/>
    </row>
    <row r="2471" spans="7:7" x14ac:dyDescent="0.25">
      <c r="G2471" s="1"/>
    </row>
    <row r="2472" spans="7:7" x14ac:dyDescent="0.25">
      <c r="G2472" s="1"/>
    </row>
    <row r="2473" spans="7:7" x14ac:dyDescent="0.25">
      <c r="G2473" s="1"/>
    </row>
    <row r="2474" spans="7:7" x14ac:dyDescent="0.25">
      <c r="G2474" s="1"/>
    </row>
    <row r="2475" spans="7:7" x14ac:dyDescent="0.25">
      <c r="G2475" s="1"/>
    </row>
    <row r="2476" spans="7:7" x14ac:dyDescent="0.25">
      <c r="G2476" s="1"/>
    </row>
    <row r="2477" spans="7:7" x14ac:dyDescent="0.25">
      <c r="G2477" s="1"/>
    </row>
    <row r="2478" spans="7:7" x14ac:dyDescent="0.25">
      <c r="G2478" s="1"/>
    </row>
    <row r="2479" spans="7:7" x14ac:dyDescent="0.25">
      <c r="G2479" s="1"/>
    </row>
    <row r="2480" spans="7:7" x14ac:dyDescent="0.25">
      <c r="G2480" s="1"/>
    </row>
    <row r="2481" spans="7:7" x14ac:dyDescent="0.25">
      <c r="G2481" s="1"/>
    </row>
    <row r="2482" spans="7:7" x14ac:dyDescent="0.25">
      <c r="G2482" s="1"/>
    </row>
    <row r="2483" spans="7:7" x14ac:dyDescent="0.25">
      <c r="G2483" s="1"/>
    </row>
    <row r="2484" spans="7:7" x14ac:dyDescent="0.25">
      <c r="G2484" s="1"/>
    </row>
    <row r="2485" spans="7:7" x14ac:dyDescent="0.25">
      <c r="G2485" s="1"/>
    </row>
    <row r="2486" spans="7:7" x14ac:dyDescent="0.25">
      <c r="G2486" s="1"/>
    </row>
    <row r="2487" spans="7:7" x14ac:dyDescent="0.25">
      <c r="G2487" s="1"/>
    </row>
    <row r="2488" spans="7:7" x14ac:dyDescent="0.25">
      <c r="G2488" s="1"/>
    </row>
    <row r="2489" spans="7:7" x14ac:dyDescent="0.25">
      <c r="G2489" s="1"/>
    </row>
    <row r="2490" spans="7:7" x14ac:dyDescent="0.25">
      <c r="G2490" s="1"/>
    </row>
    <row r="2491" spans="7:7" x14ac:dyDescent="0.25">
      <c r="G2491" s="1"/>
    </row>
    <row r="2492" spans="7:7" x14ac:dyDescent="0.25">
      <c r="G2492" s="1"/>
    </row>
    <row r="2493" spans="7:7" x14ac:dyDescent="0.25">
      <c r="G2493" s="1"/>
    </row>
    <row r="2494" spans="7:7" x14ac:dyDescent="0.25">
      <c r="G2494" s="1"/>
    </row>
    <row r="2495" spans="7:7" x14ac:dyDescent="0.25">
      <c r="G2495" s="1"/>
    </row>
    <row r="2496" spans="7:7" x14ac:dyDescent="0.25">
      <c r="G2496" s="1"/>
    </row>
    <row r="2497" spans="7:7" x14ac:dyDescent="0.25">
      <c r="G2497" s="1"/>
    </row>
    <row r="2498" spans="7:7" x14ac:dyDescent="0.25">
      <c r="G2498" s="1"/>
    </row>
    <row r="2499" spans="7:7" x14ac:dyDescent="0.25">
      <c r="G2499" s="1"/>
    </row>
    <row r="2500" spans="7:7" x14ac:dyDescent="0.25">
      <c r="G2500" s="1"/>
    </row>
    <row r="2501" spans="7:7" x14ac:dyDescent="0.25">
      <c r="G2501" s="1"/>
    </row>
    <row r="2502" spans="7:7" x14ac:dyDescent="0.25">
      <c r="G2502" s="1"/>
    </row>
    <row r="2503" spans="7:7" x14ac:dyDescent="0.25">
      <c r="G2503" s="1"/>
    </row>
    <row r="2504" spans="7:7" x14ac:dyDescent="0.25">
      <c r="G2504" s="1"/>
    </row>
    <row r="2505" spans="7:7" x14ac:dyDescent="0.25">
      <c r="G2505" s="1"/>
    </row>
    <row r="2506" spans="7:7" x14ac:dyDescent="0.25">
      <c r="G2506" s="1"/>
    </row>
    <row r="2507" spans="7:7" x14ac:dyDescent="0.25">
      <c r="G2507" s="1"/>
    </row>
    <row r="2508" spans="7:7" x14ac:dyDescent="0.25">
      <c r="G2508" s="1"/>
    </row>
    <row r="2509" spans="7:7" x14ac:dyDescent="0.25">
      <c r="G2509" s="1"/>
    </row>
    <row r="2510" spans="7:7" x14ac:dyDescent="0.25">
      <c r="G2510" s="1"/>
    </row>
    <row r="2511" spans="7:7" x14ac:dyDescent="0.25">
      <c r="G2511" s="1"/>
    </row>
    <row r="2512" spans="7:7" x14ac:dyDescent="0.25">
      <c r="G2512" s="1"/>
    </row>
    <row r="2513" spans="7:7" x14ac:dyDescent="0.25">
      <c r="G2513" s="1"/>
    </row>
    <row r="2514" spans="7:7" x14ac:dyDescent="0.25">
      <c r="G2514" s="1"/>
    </row>
    <row r="2515" spans="7:7" x14ac:dyDescent="0.25">
      <c r="G2515" s="1"/>
    </row>
    <row r="2516" spans="7:7" x14ac:dyDescent="0.25">
      <c r="G2516" s="1"/>
    </row>
    <row r="2517" spans="7:7" x14ac:dyDescent="0.25">
      <c r="G2517" s="1"/>
    </row>
    <row r="2518" spans="7:7" x14ac:dyDescent="0.25">
      <c r="G2518" s="1"/>
    </row>
    <row r="2519" spans="7:7" x14ac:dyDescent="0.25">
      <c r="G2519" s="1"/>
    </row>
    <row r="2520" spans="7:7" x14ac:dyDescent="0.25">
      <c r="G2520" s="1"/>
    </row>
    <row r="2521" spans="7:7" x14ac:dyDescent="0.25">
      <c r="G2521" s="1"/>
    </row>
    <row r="2522" spans="7:7" x14ac:dyDescent="0.25">
      <c r="G2522" s="1"/>
    </row>
    <row r="2523" spans="7:7" x14ac:dyDescent="0.25">
      <c r="G2523" s="1"/>
    </row>
    <row r="2524" spans="7:7" x14ac:dyDescent="0.25">
      <c r="G2524" s="1"/>
    </row>
    <row r="2525" spans="7:7" x14ac:dyDescent="0.25">
      <c r="G2525" s="1"/>
    </row>
    <row r="2526" spans="7:7" x14ac:dyDescent="0.25">
      <c r="G2526" s="1"/>
    </row>
    <row r="2527" spans="7:7" x14ac:dyDescent="0.25">
      <c r="G2527" s="1"/>
    </row>
    <row r="2528" spans="7:7" x14ac:dyDescent="0.25">
      <c r="G2528" s="1"/>
    </row>
    <row r="2529" spans="7:7" x14ac:dyDescent="0.25">
      <c r="G2529" s="1"/>
    </row>
    <row r="2530" spans="7:7" x14ac:dyDescent="0.25">
      <c r="G2530" s="1"/>
    </row>
    <row r="2531" spans="7:7" x14ac:dyDescent="0.25">
      <c r="G2531" s="1"/>
    </row>
    <row r="2532" spans="7:7" x14ac:dyDescent="0.25">
      <c r="G2532" s="1"/>
    </row>
    <row r="2533" spans="7:7" x14ac:dyDescent="0.25">
      <c r="G2533" s="1"/>
    </row>
    <row r="2534" spans="7:7" x14ac:dyDescent="0.25">
      <c r="G2534" s="1"/>
    </row>
    <row r="2535" spans="7:7" x14ac:dyDescent="0.25">
      <c r="G2535" s="1"/>
    </row>
    <row r="2536" spans="7:7" x14ac:dyDescent="0.25">
      <c r="G2536" s="1"/>
    </row>
    <row r="2537" spans="7:7" x14ac:dyDescent="0.25">
      <c r="G2537" s="1"/>
    </row>
    <row r="2538" spans="7:7" x14ac:dyDescent="0.25">
      <c r="G2538" s="1"/>
    </row>
    <row r="2539" spans="7:7" x14ac:dyDescent="0.25">
      <c r="G2539" s="1"/>
    </row>
    <row r="2540" spans="7:7" x14ac:dyDescent="0.25">
      <c r="G2540" s="1"/>
    </row>
    <row r="2541" spans="7:7" x14ac:dyDescent="0.25">
      <c r="G2541" s="1"/>
    </row>
    <row r="2542" spans="7:7" x14ac:dyDescent="0.25">
      <c r="G2542" s="1"/>
    </row>
    <row r="2543" spans="7:7" x14ac:dyDescent="0.25">
      <c r="G2543" s="1"/>
    </row>
    <row r="2544" spans="7:7" x14ac:dyDescent="0.25">
      <c r="G2544" s="1"/>
    </row>
    <row r="2545" spans="7:7" x14ac:dyDescent="0.25">
      <c r="G2545" s="1"/>
    </row>
    <row r="2546" spans="7:7" x14ac:dyDescent="0.25">
      <c r="G2546" s="1"/>
    </row>
    <row r="2547" spans="7:7" x14ac:dyDescent="0.25">
      <c r="G2547" s="1"/>
    </row>
    <row r="2548" spans="7:7" x14ac:dyDescent="0.25">
      <c r="G2548" s="1"/>
    </row>
    <row r="2549" spans="7:7" x14ac:dyDescent="0.25">
      <c r="G2549" s="1"/>
    </row>
    <row r="2550" spans="7:7" x14ac:dyDescent="0.25">
      <c r="G2550" s="1"/>
    </row>
    <row r="2551" spans="7:7" x14ac:dyDescent="0.25">
      <c r="G2551" s="1"/>
    </row>
    <row r="2552" spans="7:7" x14ac:dyDescent="0.25">
      <c r="G2552" s="1"/>
    </row>
    <row r="2553" spans="7:7" x14ac:dyDescent="0.25">
      <c r="G2553" s="1"/>
    </row>
    <row r="2554" spans="7:7" x14ac:dyDescent="0.25">
      <c r="G2554" s="1"/>
    </row>
    <row r="2555" spans="7:7" x14ac:dyDescent="0.25">
      <c r="G2555" s="1"/>
    </row>
    <row r="2556" spans="7:7" x14ac:dyDescent="0.25">
      <c r="G2556" s="1"/>
    </row>
    <row r="2557" spans="7:7" x14ac:dyDescent="0.25">
      <c r="G2557" s="1"/>
    </row>
    <row r="2558" spans="7:7" x14ac:dyDescent="0.25">
      <c r="G2558" s="1"/>
    </row>
    <row r="2559" spans="7:7" x14ac:dyDescent="0.25">
      <c r="G2559" s="1"/>
    </row>
    <row r="2560" spans="7:7" x14ac:dyDescent="0.25">
      <c r="G2560" s="1"/>
    </row>
    <row r="2561" spans="7:7" x14ac:dyDescent="0.25">
      <c r="G2561" s="1"/>
    </row>
    <row r="2562" spans="7:7" x14ac:dyDescent="0.25">
      <c r="G2562" s="1"/>
    </row>
    <row r="2563" spans="7:7" x14ac:dyDescent="0.25">
      <c r="G2563" s="1"/>
    </row>
    <row r="2564" spans="7:7" x14ac:dyDescent="0.25">
      <c r="G2564" s="1"/>
    </row>
    <row r="2565" spans="7:7" x14ac:dyDescent="0.25">
      <c r="G2565" s="1"/>
    </row>
    <row r="2566" spans="7:7" x14ac:dyDescent="0.25">
      <c r="G2566" s="1"/>
    </row>
    <row r="2567" spans="7:7" x14ac:dyDescent="0.25">
      <c r="G2567" s="1"/>
    </row>
    <row r="2568" spans="7:7" x14ac:dyDescent="0.25">
      <c r="G2568" s="1"/>
    </row>
    <row r="2569" spans="7:7" x14ac:dyDescent="0.25">
      <c r="G2569" s="1"/>
    </row>
    <row r="2570" spans="7:7" x14ac:dyDescent="0.25">
      <c r="G2570" s="1"/>
    </row>
    <row r="2571" spans="7:7" x14ac:dyDescent="0.25">
      <c r="G2571" s="1"/>
    </row>
    <row r="2572" spans="7:7" x14ac:dyDescent="0.25">
      <c r="G2572" s="1"/>
    </row>
    <row r="2573" spans="7:7" x14ac:dyDescent="0.25">
      <c r="G2573" s="1"/>
    </row>
    <row r="2574" spans="7:7" x14ac:dyDescent="0.25">
      <c r="G2574" s="1"/>
    </row>
    <row r="2575" spans="7:7" x14ac:dyDescent="0.25">
      <c r="G2575" s="1"/>
    </row>
    <row r="2576" spans="7:7" x14ac:dyDescent="0.25">
      <c r="G2576" s="1"/>
    </row>
    <row r="2577" spans="7:7" x14ac:dyDescent="0.25">
      <c r="G2577" s="1"/>
    </row>
    <row r="2578" spans="7:7" x14ac:dyDescent="0.25">
      <c r="G2578" s="1"/>
    </row>
    <row r="2579" spans="7:7" x14ac:dyDescent="0.25">
      <c r="G2579" s="1"/>
    </row>
    <row r="2580" spans="7:7" x14ac:dyDescent="0.25">
      <c r="G2580" s="1"/>
    </row>
    <row r="2581" spans="7:7" x14ac:dyDescent="0.25">
      <c r="G2581" s="1"/>
    </row>
    <row r="2582" spans="7:7" x14ac:dyDescent="0.25">
      <c r="G2582" s="1"/>
    </row>
    <row r="2583" spans="7:7" x14ac:dyDescent="0.25">
      <c r="G2583" s="1"/>
    </row>
    <row r="2584" spans="7:7" x14ac:dyDescent="0.25">
      <c r="G2584" s="1"/>
    </row>
    <row r="2585" spans="7:7" x14ac:dyDescent="0.25">
      <c r="G2585" s="1"/>
    </row>
    <row r="2586" spans="7:7" x14ac:dyDescent="0.25">
      <c r="G2586" s="1"/>
    </row>
    <row r="2587" spans="7:7" x14ac:dyDescent="0.25">
      <c r="G2587" s="1"/>
    </row>
    <row r="2588" spans="7:7" x14ac:dyDescent="0.25">
      <c r="G2588" s="1"/>
    </row>
    <row r="2589" spans="7:7" x14ac:dyDescent="0.25">
      <c r="G2589" s="1"/>
    </row>
    <row r="2590" spans="7:7" x14ac:dyDescent="0.25">
      <c r="G2590" s="1"/>
    </row>
    <row r="2591" spans="7:7" x14ac:dyDescent="0.25">
      <c r="G2591" s="1"/>
    </row>
    <row r="2592" spans="7:7" x14ac:dyDescent="0.25">
      <c r="G2592" s="1"/>
    </row>
    <row r="2593" spans="7:7" x14ac:dyDescent="0.25">
      <c r="G2593" s="1"/>
    </row>
    <row r="2594" spans="7:7" x14ac:dyDescent="0.25">
      <c r="G2594" s="1"/>
    </row>
    <row r="2595" spans="7:7" x14ac:dyDescent="0.25">
      <c r="G2595" s="1"/>
    </row>
    <row r="2596" spans="7:7" x14ac:dyDescent="0.25">
      <c r="G2596" s="1"/>
    </row>
    <row r="2597" spans="7:7" x14ac:dyDescent="0.25">
      <c r="G2597" s="1"/>
    </row>
    <row r="2598" spans="7:7" x14ac:dyDescent="0.25">
      <c r="G2598" s="1"/>
    </row>
    <row r="2599" spans="7:7" x14ac:dyDescent="0.25">
      <c r="G2599" s="1"/>
    </row>
    <row r="2600" spans="7:7" x14ac:dyDescent="0.25">
      <c r="G2600" s="1"/>
    </row>
    <row r="2601" spans="7:7" x14ac:dyDescent="0.25">
      <c r="G2601" s="1"/>
    </row>
    <row r="2602" spans="7:7" x14ac:dyDescent="0.25">
      <c r="G2602" s="1"/>
    </row>
    <row r="2603" spans="7:7" x14ac:dyDescent="0.25">
      <c r="G2603" s="1"/>
    </row>
    <row r="2604" spans="7:7" x14ac:dyDescent="0.25">
      <c r="G2604" s="1"/>
    </row>
    <row r="2605" spans="7:7" x14ac:dyDescent="0.25">
      <c r="G2605" s="1"/>
    </row>
    <row r="2606" spans="7:7" x14ac:dyDescent="0.25">
      <c r="G2606" s="1"/>
    </row>
    <row r="2607" spans="7:7" x14ac:dyDescent="0.25">
      <c r="G2607" s="1"/>
    </row>
    <row r="2608" spans="7:7" x14ac:dyDescent="0.25">
      <c r="G2608" s="1"/>
    </row>
    <row r="2609" spans="7:7" x14ac:dyDescent="0.25">
      <c r="G2609" s="1"/>
    </row>
    <row r="2610" spans="7:7" x14ac:dyDescent="0.25">
      <c r="G2610" s="1"/>
    </row>
    <row r="2611" spans="7:7" x14ac:dyDescent="0.25">
      <c r="G2611" s="1"/>
    </row>
    <row r="2612" spans="7:7" x14ac:dyDescent="0.25">
      <c r="G2612" s="1"/>
    </row>
    <row r="2613" spans="7:7" x14ac:dyDescent="0.25">
      <c r="G2613" s="1"/>
    </row>
    <row r="2614" spans="7:7" x14ac:dyDescent="0.25">
      <c r="G2614" s="1"/>
    </row>
    <row r="2615" spans="7:7" x14ac:dyDescent="0.25">
      <c r="G2615" s="1"/>
    </row>
    <row r="2616" spans="7:7" x14ac:dyDescent="0.25">
      <c r="G2616" s="1"/>
    </row>
    <row r="2617" spans="7:7" x14ac:dyDescent="0.25">
      <c r="G2617" s="1"/>
    </row>
    <row r="2618" spans="7:7" x14ac:dyDescent="0.25">
      <c r="G2618" s="1"/>
    </row>
    <row r="2619" spans="7:7" x14ac:dyDescent="0.25">
      <c r="G2619" s="1"/>
    </row>
    <row r="2620" spans="7:7" x14ac:dyDescent="0.25">
      <c r="G2620" s="1"/>
    </row>
    <row r="2621" spans="7:7" x14ac:dyDescent="0.25">
      <c r="G2621" s="1"/>
    </row>
    <row r="2622" spans="7:7" x14ac:dyDescent="0.25">
      <c r="G2622" s="1"/>
    </row>
    <row r="2623" spans="7:7" x14ac:dyDescent="0.25">
      <c r="G2623" s="1"/>
    </row>
    <row r="2624" spans="7:7" x14ac:dyDescent="0.25">
      <c r="G2624" s="1"/>
    </row>
    <row r="2625" spans="7:7" x14ac:dyDescent="0.25">
      <c r="G2625" s="1"/>
    </row>
    <row r="2626" spans="7:7" x14ac:dyDescent="0.25">
      <c r="G2626" s="1"/>
    </row>
    <row r="2627" spans="7:7" x14ac:dyDescent="0.25">
      <c r="G2627" s="1"/>
    </row>
    <row r="2628" spans="7:7" x14ac:dyDescent="0.25">
      <c r="G2628" s="1"/>
    </row>
    <row r="2629" spans="7:7" x14ac:dyDescent="0.25">
      <c r="G2629" s="1"/>
    </row>
    <row r="2630" spans="7:7" x14ac:dyDescent="0.25">
      <c r="G2630" s="1"/>
    </row>
    <row r="2631" spans="7:7" x14ac:dyDescent="0.25">
      <c r="G2631" s="1"/>
    </row>
    <row r="2632" spans="7:7" x14ac:dyDescent="0.25">
      <c r="G2632" s="1"/>
    </row>
    <row r="2633" spans="7:7" x14ac:dyDescent="0.25">
      <c r="G2633" s="1"/>
    </row>
    <row r="2634" spans="7:7" x14ac:dyDescent="0.25">
      <c r="G2634" s="1"/>
    </row>
    <row r="2635" spans="7:7" x14ac:dyDescent="0.25">
      <c r="G2635" s="1"/>
    </row>
    <row r="2636" spans="7:7" x14ac:dyDescent="0.25">
      <c r="G2636" s="1"/>
    </row>
    <row r="2637" spans="7:7" x14ac:dyDescent="0.25">
      <c r="G2637" s="1"/>
    </row>
    <row r="2638" spans="7:7" x14ac:dyDescent="0.25">
      <c r="G2638" s="1"/>
    </row>
    <row r="2639" spans="7:7" x14ac:dyDescent="0.25">
      <c r="G2639" s="1"/>
    </row>
    <row r="2640" spans="7:7" x14ac:dyDescent="0.25">
      <c r="G2640" s="1"/>
    </row>
    <row r="2641" spans="7:7" x14ac:dyDescent="0.25">
      <c r="G2641" s="1"/>
    </row>
    <row r="2642" spans="7:7" x14ac:dyDescent="0.25">
      <c r="G2642" s="1"/>
    </row>
    <row r="2643" spans="7:7" x14ac:dyDescent="0.25">
      <c r="G2643" s="1"/>
    </row>
    <row r="2644" spans="7:7" x14ac:dyDescent="0.25">
      <c r="G2644" s="1"/>
    </row>
    <row r="2645" spans="7:7" x14ac:dyDescent="0.25">
      <c r="G2645" s="1"/>
    </row>
    <row r="2646" spans="7:7" x14ac:dyDescent="0.25">
      <c r="G2646" s="1"/>
    </row>
    <row r="2647" spans="7:7" x14ac:dyDescent="0.25">
      <c r="G2647" s="1"/>
    </row>
    <row r="2648" spans="7:7" x14ac:dyDescent="0.25">
      <c r="G2648" s="1"/>
    </row>
    <row r="2649" spans="7:7" x14ac:dyDescent="0.25">
      <c r="G2649" s="1"/>
    </row>
    <row r="2650" spans="7:7" x14ac:dyDescent="0.25">
      <c r="G2650" s="1"/>
    </row>
    <row r="2651" spans="7:7" x14ac:dyDescent="0.25">
      <c r="G2651" s="1"/>
    </row>
    <row r="2652" spans="7:7" x14ac:dyDescent="0.25">
      <c r="G2652" s="1"/>
    </row>
    <row r="2653" spans="7:7" x14ac:dyDescent="0.25">
      <c r="G2653" s="1"/>
    </row>
    <row r="2654" spans="7:7" x14ac:dyDescent="0.25">
      <c r="G2654" s="1"/>
    </row>
    <row r="2655" spans="7:7" x14ac:dyDescent="0.25">
      <c r="G2655" s="1"/>
    </row>
    <row r="2656" spans="7:7" x14ac:dyDescent="0.25">
      <c r="G2656" s="1"/>
    </row>
    <row r="2657" spans="7:7" x14ac:dyDescent="0.25">
      <c r="G2657" s="1"/>
    </row>
    <row r="2658" spans="7:7" x14ac:dyDescent="0.25">
      <c r="G2658" s="1"/>
    </row>
    <row r="2659" spans="7:7" x14ac:dyDescent="0.25">
      <c r="G2659" s="1"/>
    </row>
    <row r="2660" spans="7:7" x14ac:dyDescent="0.25">
      <c r="G2660" s="1"/>
    </row>
    <row r="2661" spans="7:7" x14ac:dyDescent="0.25">
      <c r="G2661" s="1"/>
    </row>
    <row r="2662" spans="7:7" x14ac:dyDescent="0.25">
      <c r="G2662" s="1"/>
    </row>
    <row r="2663" spans="7:7" x14ac:dyDescent="0.25">
      <c r="G2663" s="1"/>
    </row>
    <row r="2664" spans="7:7" x14ac:dyDescent="0.25">
      <c r="G2664" s="1"/>
    </row>
    <row r="2665" spans="7:7" x14ac:dyDescent="0.25">
      <c r="G2665" s="1"/>
    </row>
    <row r="2666" spans="7:7" x14ac:dyDescent="0.25">
      <c r="G2666" s="1"/>
    </row>
    <row r="2667" spans="7:7" x14ac:dyDescent="0.25">
      <c r="G2667" s="1"/>
    </row>
    <row r="2668" spans="7:7" x14ac:dyDescent="0.25">
      <c r="G2668" s="1"/>
    </row>
    <row r="2669" spans="7:7" x14ac:dyDescent="0.25">
      <c r="G2669" s="1"/>
    </row>
    <row r="2670" spans="7:7" x14ac:dyDescent="0.25">
      <c r="G2670" s="1"/>
    </row>
    <row r="2671" spans="7:7" x14ac:dyDescent="0.25">
      <c r="G2671" s="1"/>
    </row>
    <row r="2672" spans="7:7" x14ac:dyDescent="0.25">
      <c r="G2672" s="1"/>
    </row>
    <row r="2673" spans="7:7" x14ac:dyDescent="0.25">
      <c r="G2673" s="1"/>
    </row>
    <row r="2674" spans="7:7" x14ac:dyDescent="0.25">
      <c r="G2674" s="1"/>
    </row>
    <row r="2675" spans="7:7" x14ac:dyDescent="0.25">
      <c r="G2675" s="1"/>
    </row>
    <row r="2676" spans="7:7" x14ac:dyDescent="0.25">
      <c r="G2676" s="1"/>
    </row>
    <row r="2677" spans="7:7" x14ac:dyDescent="0.25">
      <c r="G2677" s="1"/>
    </row>
    <row r="2678" spans="7:7" x14ac:dyDescent="0.25">
      <c r="G2678" s="1"/>
    </row>
    <row r="2679" spans="7:7" x14ac:dyDescent="0.25">
      <c r="G2679" s="1"/>
    </row>
    <row r="2680" spans="7:7" x14ac:dyDescent="0.25">
      <c r="G2680" s="1"/>
    </row>
    <row r="2681" spans="7:7" x14ac:dyDescent="0.25">
      <c r="G2681" s="1"/>
    </row>
    <row r="2682" spans="7:7" x14ac:dyDescent="0.25">
      <c r="G2682" s="1"/>
    </row>
    <row r="2683" spans="7:7" x14ac:dyDescent="0.25">
      <c r="G2683" s="1"/>
    </row>
    <row r="2684" spans="7:7" x14ac:dyDescent="0.25">
      <c r="G2684" s="1"/>
    </row>
    <row r="2685" spans="7:7" x14ac:dyDescent="0.25">
      <c r="G2685" s="1"/>
    </row>
    <row r="2686" spans="7:7" x14ac:dyDescent="0.25">
      <c r="G2686" s="1"/>
    </row>
    <row r="2687" spans="7:7" x14ac:dyDescent="0.25">
      <c r="G2687" s="1"/>
    </row>
    <row r="2688" spans="7:7" x14ac:dyDescent="0.25">
      <c r="G2688" s="1"/>
    </row>
    <row r="2689" spans="7:7" x14ac:dyDescent="0.25">
      <c r="G2689" s="1"/>
    </row>
    <row r="2690" spans="7:7" x14ac:dyDescent="0.25">
      <c r="G2690" s="1"/>
    </row>
    <row r="2691" spans="7:7" x14ac:dyDescent="0.25">
      <c r="G2691" s="1"/>
    </row>
    <row r="2692" spans="7:7" x14ac:dyDescent="0.25">
      <c r="G2692" s="1"/>
    </row>
    <row r="2693" spans="7:7" x14ac:dyDescent="0.25">
      <c r="G2693" s="1"/>
    </row>
    <row r="2694" spans="7:7" x14ac:dyDescent="0.25">
      <c r="G2694" s="1"/>
    </row>
    <row r="2695" spans="7:7" x14ac:dyDescent="0.25">
      <c r="G2695" s="1"/>
    </row>
    <row r="2696" spans="7:7" x14ac:dyDescent="0.25">
      <c r="G2696" s="1"/>
    </row>
    <row r="2697" spans="7:7" x14ac:dyDescent="0.25">
      <c r="G2697" s="1"/>
    </row>
    <row r="2698" spans="7:7" x14ac:dyDescent="0.25">
      <c r="G2698" s="1"/>
    </row>
    <row r="2699" spans="7:7" x14ac:dyDescent="0.25">
      <c r="G2699" s="1"/>
    </row>
    <row r="2700" spans="7:7" x14ac:dyDescent="0.25">
      <c r="G2700" s="1"/>
    </row>
    <row r="2701" spans="7:7" x14ac:dyDescent="0.25">
      <c r="G2701" s="1"/>
    </row>
    <row r="2702" spans="7:7" x14ac:dyDescent="0.25">
      <c r="G2702" s="1"/>
    </row>
    <row r="2703" spans="7:7" x14ac:dyDescent="0.25">
      <c r="G2703" s="1"/>
    </row>
    <row r="2704" spans="7:7" x14ac:dyDescent="0.25">
      <c r="G2704" s="1"/>
    </row>
    <row r="2705" spans="7:7" x14ac:dyDescent="0.25">
      <c r="G2705" s="1"/>
    </row>
    <row r="2706" spans="7:7" x14ac:dyDescent="0.25">
      <c r="G2706" s="1"/>
    </row>
    <row r="2707" spans="7:7" x14ac:dyDescent="0.25">
      <c r="G2707" s="1"/>
    </row>
    <row r="2708" spans="7:7" x14ac:dyDescent="0.25">
      <c r="G2708" s="1"/>
    </row>
    <row r="2709" spans="7:7" x14ac:dyDescent="0.25">
      <c r="G2709" s="1"/>
    </row>
    <row r="2710" spans="7:7" x14ac:dyDescent="0.25">
      <c r="G2710" s="1"/>
    </row>
    <row r="2711" spans="7:7" x14ac:dyDescent="0.25">
      <c r="G2711" s="1"/>
    </row>
    <row r="2712" spans="7:7" x14ac:dyDescent="0.25">
      <c r="G2712" s="1"/>
    </row>
    <row r="2713" spans="7:7" x14ac:dyDescent="0.25">
      <c r="G2713" s="1"/>
    </row>
    <row r="2714" spans="7:7" x14ac:dyDescent="0.25">
      <c r="G2714" s="1"/>
    </row>
    <row r="2715" spans="7:7" x14ac:dyDescent="0.25">
      <c r="G2715" s="1"/>
    </row>
    <row r="2716" spans="7:7" x14ac:dyDescent="0.25">
      <c r="G2716" s="1"/>
    </row>
    <row r="2717" spans="7:7" x14ac:dyDescent="0.25">
      <c r="G2717" s="1"/>
    </row>
    <row r="2718" spans="7:7" x14ac:dyDescent="0.25">
      <c r="G2718" s="1"/>
    </row>
    <row r="2719" spans="7:7" x14ac:dyDescent="0.25">
      <c r="G2719" s="1"/>
    </row>
    <row r="2720" spans="7:7" x14ac:dyDescent="0.25">
      <c r="G2720" s="1"/>
    </row>
    <row r="2721" spans="7:7" x14ac:dyDescent="0.25">
      <c r="G2721" s="1"/>
    </row>
    <row r="2722" spans="7:7" x14ac:dyDescent="0.25">
      <c r="G2722" s="1"/>
    </row>
    <row r="2723" spans="7:7" x14ac:dyDescent="0.25">
      <c r="G2723" s="1"/>
    </row>
    <row r="2724" spans="7:7" x14ac:dyDescent="0.25">
      <c r="G2724" s="1"/>
    </row>
    <row r="2725" spans="7:7" x14ac:dyDescent="0.25">
      <c r="G2725" s="1"/>
    </row>
    <row r="2726" spans="7:7" x14ac:dyDescent="0.25">
      <c r="G2726" s="1"/>
    </row>
    <row r="2727" spans="7:7" x14ac:dyDescent="0.25">
      <c r="G2727" s="1"/>
    </row>
    <row r="2728" spans="7:7" x14ac:dyDescent="0.25">
      <c r="G2728" s="1"/>
    </row>
    <row r="2729" spans="7:7" x14ac:dyDescent="0.25">
      <c r="G2729" s="1"/>
    </row>
    <row r="2730" spans="7:7" x14ac:dyDescent="0.25">
      <c r="G2730" s="1"/>
    </row>
    <row r="2731" spans="7:7" x14ac:dyDescent="0.25">
      <c r="G2731" s="1"/>
    </row>
    <row r="2732" spans="7:7" x14ac:dyDescent="0.25">
      <c r="G2732" s="1"/>
    </row>
    <row r="2733" spans="7:7" x14ac:dyDescent="0.25">
      <c r="G2733" s="1"/>
    </row>
    <row r="2734" spans="7:7" x14ac:dyDescent="0.25">
      <c r="G2734" s="1"/>
    </row>
    <row r="2735" spans="7:7" x14ac:dyDescent="0.25">
      <c r="G2735" s="1"/>
    </row>
    <row r="2736" spans="7:7" x14ac:dyDescent="0.25">
      <c r="G2736" s="1"/>
    </row>
    <row r="2737" spans="7:7" x14ac:dyDescent="0.25">
      <c r="G2737" s="1"/>
    </row>
    <row r="2738" spans="7:7" x14ac:dyDescent="0.25">
      <c r="G2738" s="1"/>
    </row>
    <row r="2739" spans="7:7" x14ac:dyDescent="0.25">
      <c r="G2739" s="1"/>
    </row>
    <row r="2740" spans="7:7" x14ac:dyDescent="0.25">
      <c r="G2740" s="1"/>
    </row>
    <row r="2741" spans="7:7" x14ac:dyDescent="0.25">
      <c r="G2741" s="1"/>
    </row>
    <row r="2742" spans="7:7" x14ac:dyDescent="0.25">
      <c r="G2742" s="1"/>
    </row>
    <row r="2743" spans="7:7" x14ac:dyDescent="0.25">
      <c r="G2743" s="1"/>
    </row>
    <row r="2744" spans="7:7" x14ac:dyDescent="0.25">
      <c r="G2744" s="1"/>
    </row>
    <row r="2745" spans="7:7" x14ac:dyDescent="0.25">
      <c r="G2745" s="1"/>
    </row>
    <row r="2746" spans="7:7" x14ac:dyDescent="0.25">
      <c r="G2746" s="1"/>
    </row>
    <row r="2747" spans="7:7" x14ac:dyDescent="0.25">
      <c r="G2747" s="1"/>
    </row>
    <row r="2748" spans="7:7" x14ac:dyDescent="0.25">
      <c r="G2748" s="1"/>
    </row>
    <row r="2749" spans="7:7" x14ac:dyDescent="0.25">
      <c r="G2749" s="1"/>
    </row>
    <row r="2750" spans="7:7" x14ac:dyDescent="0.25">
      <c r="G2750" s="1"/>
    </row>
    <row r="2751" spans="7:7" x14ac:dyDescent="0.25">
      <c r="G2751" s="1"/>
    </row>
    <row r="2752" spans="7:7" x14ac:dyDescent="0.25">
      <c r="G2752" s="1"/>
    </row>
    <row r="2753" spans="7:7" x14ac:dyDescent="0.25">
      <c r="G2753" s="1"/>
    </row>
    <row r="2754" spans="7:7" x14ac:dyDescent="0.25">
      <c r="G2754" s="1"/>
    </row>
    <row r="2755" spans="7:7" x14ac:dyDescent="0.25">
      <c r="G2755" s="1"/>
    </row>
    <row r="2756" spans="7:7" x14ac:dyDescent="0.25">
      <c r="G2756" s="1"/>
    </row>
    <row r="2757" spans="7:7" x14ac:dyDescent="0.25">
      <c r="G2757" s="1"/>
    </row>
    <row r="2758" spans="7:7" x14ac:dyDescent="0.25">
      <c r="G2758" s="1"/>
    </row>
    <row r="2759" spans="7:7" x14ac:dyDescent="0.25">
      <c r="G2759" s="1"/>
    </row>
    <row r="2760" spans="7:7" x14ac:dyDescent="0.25">
      <c r="G2760" s="1"/>
    </row>
    <row r="2761" spans="7:7" x14ac:dyDescent="0.25">
      <c r="G2761" s="1"/>
    </row>
    <row r="2762" spans="7:7" x14ac:dyDescent="0.25">
      <c r="G2762" s="1"/>
    </row>
    <row r="2763" spans="7:7" x14ac:dyDescent="0.25">
      <c r="G2763" s="1"/>
    </row>
    <row r="2764" spans="7:7" x14ac:dyDescent="0.25">
      <c r="G2764" s="1"/>
    </row>
    <row r="2765" spans="7:7" x14ac:dyDescent="0.25">
      <c r="G2765" s="1"/>
    </row>
    <row r="2766" spans="7:7" x14ac:dyDescent="0.25">
      <c r="G2766" s="1"/>
    </row>
    <row r="2767" spans="7:7" x14ac:dyDescent="0.25">
      <c r="G2767" s="1"/>
    </row>
    <row r="2768" spans="7:7" x14ac:dyDescent="0.25">
      <c r="G2768" s="1"/>
    </row>
    <row r="2769" spans="7:7" x14ac:dyDescent="0.25">
      <c r="G2769" s="1"/>
    </row>
    <row r="2770" spans="7:7" x14ac:dyDescent="0.25">
      <c r="G2770" s="1"/>
    </row>
    <row r="2771" spans="7:7" x14ac:dyDescent="0.25">
      <c r="G2771" s="1"/>
    </row>
    <row r="2772" spans="7:7" x14ac:dyDescent="0.25">
      <c r="G2772" s="1"/>
    </row>
    <row r="2773" spans="7:7" x14ac:dyDescent="0.25">
      <c r="G2773" s="1"/>
    </row>
    <row r="2774" spans="7:7" x14ac:dyDescent="0.25">
      <c r="G2774" s="1"/>
    </row>
    <row r="2775" spans="7:7" x14ac:dyDescent="0.25">
      <c r="G2775" s="1"/>
    </row>
    <row r="2776" spans="7:7" x14ac:dyDescent="0.25">
      <c r="G2776" s="1"/>
    </row>
    <row r="2777" spans="7:7" x14ac:dyDescent="0.25">
      <c r="G2777" s="1"/>
    </row>
    <row r="2778" spans="7:7" x14ac:dyDescent="0.25">
      <c r="G2778" s="1"/>
    </row>
    <row r="2779" spans="7:7" x14ac:dyDescent="0.25">
      <c r="G2779" s="1"/>
    </row>
    <row r="2780" spans="7:7" x14ac:dyDescent="0.25">
      <c r="G2780" s="1"/>
    </row>
    <row r="2781" spans="7:7" x14ac:dyDescent="0.25">
      <c r="G2781" s="1"/>
    </row>
    <row r="2782" spans="7:7" x14ac:dyDescent="0.25">
      <c r="G2782" s="1"/>
    </row>
    <row r="2783" spans="7:7" x14ac:dyDescent="0.25">
      <c r="G2783" s="1"/>
    </row>
    <row r="2784" spans="7:7" x14ac:dyDescent="0.25">
      <c r="G2784" s="1"/>
    </row>
    <row r="2785" spans="7:7" x14ac:dyDescent="0.25">
      <c r="G2785" s="1"/>
    </row>
    <row r="2786" spans="7:7" x14ac:dyDescent="0.25">
      <c r="G2786" s="1"/>
    </row>
    <row r="2787" spans="7:7" x14ac:dyDescent="0.25">
      <c r="G2787" s="1"/>
    </row>
    <row r="2788" spans="7:7" x14ac:dyDescent="0.25">
      <c r="G2788" s="1"/>
    </row>
    <row r="2789" spans="7:7" x14ac:dyDescent="0.25">
      <c r="G2789" s="1"/>
    </row>
    <row r="2790" spans="7:7" x14ac:dyDescent="0.25">
      <c r="G2790" s="1"/>
    </row>
    <row r="2791" spans="7:7" x14ac:dyDescent="0.25">
      <c r="G2791" s="1"/>
    </row>
    <row r="2792" spans="7:7" x14ac:dyDescent="0.25">
      <c r="G2792" s="1"/>
    </row>
    <row r="2793" spans="7:7" x14ac:dyDescent="0.25">
      <c r="G2793" s="1"/>
    </row>
    <row r="2794" spans="7:7" x14ac:dyDescent="0.25">
      <c r="G2794" s="1"/>
    </row>
    <row r="2795" spans="7:7" x14ac:dyDescent="0.25">
      <c r="G2795" s="1"/>
    </row>
    <row r="2796" spans="7:7" x14ac:dyDescent="0.25">
      <c r="G2796" s="1"/>
    </row>
    <row r="2797" spans="7:7" x14ac:dyDescent="0.25">
      <c r="G2797" s="1"/>
    </row>
    <row r="2798" spans="7:7" x14ac:dyDescent="0.25">
      <c r="G2798" s="1"/>
    </row>
    <row r="2799" spans="7:7" x14ac:dyDescent="0.25">
      <c r="G2799" s="1"/>
    </row>
    <row r="2800" spans="7:7" x14ac:dyDescent="0.25">
      <c r="G2800" s="1"/>
    </row>
    <row r="2801" spans="7:7" x14ac:dyDescent="0.25">
      <c r="G2801" s="1"/>
    </row>
    <row r="2802" spans="7:7" x14ac:dyDescent="0.25">
      <c r="G2802" s="1"/>
    </row>
    <row r="2803" spans="7:7" x14ac:dyDescent="0.25">
      <c r="G2803" s="1"/>
    </row>
    <row r="2804" spans="7:7" x14ac:dyDescent="0.25">
      <c r="G2804" s="1"/>
    </row>
    <row r="2805" spans="7:7" x14ac:dyDescent="0.25">
      <c r="G2805" s="1"/>
    </row>
    <row r="2806" spans="7:7" x14ac:dyDescent="0.25">
      <c r="G2806" s="1"/>
    </row>
    <row r="2807" spans="7:7" x14ac:dyDescent="0.25">
      <c r="G2807" s="1"/>
    </row>
    <row r="2808" spans="7:7" x14ac:dyDescent="0.25">
      <c r="G2808" s="1"/>
    </row>
    <row r="2809" spans="7:7" x14ac:dyDescent="0.25">
      <c r="G2809" s="1"/>
    </row>
    <row r="2810" spans="7:7" x14ac:dyDescent="0.25">
      <c r="G2810" s="1"/>
    </row>
    <row r="2811" spans="7:7" x14ac:dyDescent="0.25">
      <c r="G2811" s="1"/>
    </row>
    <row r="2812" spans="7:7" x14ac:dyDescent="0.25">
      <c r="G2812" s="1"/>
    </row>
    <row r="2813" spans="7:7" x14ac:dyDescent="0.25">
      <c r="G2813" s="1"/>
    </row>
    <row r="2814" spans="7:7" x14ac:dyDescent="0.25">
      <c r="G2814" s="1"/>
    </row>
    <row r="2815" spans="7:7" x14ac:dyDescent="0.25">
      <c r="G2815" s="1"/>
    </row>
    <row r="2816" spans="7:7" x14ac:dyDescent="0.25">
      <c r="G2816" s="1"/>
    </row>
    <row r="2817" spans="7:7" x14ac:dyDescent="0.25">
      <c r="G2817" s="1"/>
    </row>
    <row r="2818" spans="7:7" x14ac:dyDescent="0.25">
      <c r="G2818" s="1"/>
    </row>
    <row r="2819" spans="7:7" x14ac:dyDescent="0.25">
      <c r="G2819" s="1"/>
    </row>
    <row r="2820" spans="7:7" x14ac:dyDescent="0.25">
      <c r="G2820" s="1"/>
    </row>
    <row r="2821" spans="7:7" x14ac:dyDescent="0.25">
      <c r="G2821" s="1"/>
    </row>
    <row r="2822" spans="7:7" x14ac:dyDescent="0.25">
      <c r="G2822" s="1"/>
    </row>
    <row r="2823" spans="7:7" x14ac:dyDescent="0.25">
      <c r="G2823" s="1"/>
    </row>
    <row r="2824" spans="7:7" x14ac:dyDescent="0.25">
      <c r="G2824" s="1"/>
    </row>
    <row r="2825" spans="7:7" x14ac:dyDescent="0.25">
      <c r="G2825" s="1"/>
    </row>
    <row r="2826" spans="7:7" x14ac:dyDescent="0.25">
      <c r="G2826" s="1"/>
    </row>
    <row r="2827" spans="7:7" x14ac:dyDescent="0.25">
      <c r="G2827" s="1"/>
    </row>
    <row r="2828" spans="7:7" x14ac:dyDescent="0.25">
      <c r="G2828" s="1"/>
    </row>
    <row r="2829" spans="7:7" x14ac:dyDescent="0.25">
      <c r="G2829" s="1"/>
    </row>
    <row r="2830" spans="7:7" x14ac:dyDescent="0.25">
      <c r="G2830" s="1"/>
    </row>
    <row r="2831" spans="7:7" x14ac:dyDescent="0.25">
      <c r="G2831" s="1"/>
    </row>
    <row r="2832" spans="7:7" x14ac:dyDescent="0.25">
      <c r="G2832" s="1"/>
    </row>
    <row r="2833" spans="7:7" x14ac:dyDescent="0.25">
      <c r="G2833" s="1"/>
    </row>
    <row r="2834" spans="7:7" x14ac:dyDescent="0.25">
      <c r="G2834" s="1"/>
    </row>
    <row r="2835" spans="7:7" x14ac:dyDescent="0.25">
      <c r="G2835" s="1"/>
    </row>
    <row r="2836" spans="7:7" x14ac:dyDescent="0.25">
      <c r="G2836" s="1"/>
    </row>
    <row r="2837" spans="7:7" x14ac:dyDescent="0.25">
      <c r="G2837" s="1"/>
    </row>
    <row r="2838" spans="7:7" x14ac:dyDescent="0.25">
      <c r="G2838" s="1"/>
    </row>
    <row r="2839" spans="7:7" x14ac:dyDescent="0.25">
      <c r="G2839" s="1"/>
    </row>
    <row r="2840" spans="7:7" x14ac:dyDescent="0.25">
      <c r="G2840" s="1"/>
    </row>
    <row r="2841" spans="7:7" x14ac:dyDescent="0.25">
      <c r="G2841" s="1"/>
    </row>
    <row r="2842" spans="7:7" x14ac:dyDescent="0.25">
      <c r="G2842" s="1"/>
    </row>
    <row r="2843" spans="7:7" x14ac:dyDescent="0.25">
      <c r="G2843" s="1"/>
    </row>
    <row r="2844" spans="7:7" x14ac:dyDescent="0.25">
      <c r="G2844" s="1"/>
    </row>
    <row r="2845" spans="7:7" x14ac:dyDescent="0.25">
      <c r="G2845" s="1"/>
    </row>
    <row r="2846" spans="7:7" x14ac:dyDescent="0.25">
      <c r="G2846" s="1"/>
    </row>
    <row r="2847" spans="7:7" x14ac:dyDescent="0.25">
      <c r="G2847" s="1"/>
    </row>
    <row r="2848" spans="7:7" x14ac:dyDescent="0.25">
      <c r="G2848" s="1"/>
    </row>
    <row r="2849" spans="7:7" x14ac:dyDescent="0.25">
      <c r="G2849" s="1"/>
    </row>
    <row r="2850" spans="7:7" x14ac:dyDescent="0.25">
      <c r="G2850" s="1"/>
    </row>
    <row r="2851" spans="7:7" x14ac:dyDescent="0.25">
      <c r="G2851" s="1"/>
    </row>
    <row r="2852" spans="7:7" x14ac:dyDescent="0.25">
      <c r="G2852" s="1"/>
    </row>
    <row r="2853" spans="7:7" x14ac:dyDescent="0.25">
      <c r="G2853" s="1"/>
    </row>
    <row r="2854" spans="7:7" x14ac:dyDescent="0.25">
      <c r="G2854" s="1"/>
    </row>
    <row r="2855" spans="7:7" x14ac:dyDescent="0.25">
      <c r="G2855" s="1"/>
    </row>
    <row r="2856" spans="7:7" x14ac:dyDescent="0.25">
      <c r="G2856" s="1"/>
    </row>
    <row r="2857" spans="7:7" x14ac:dyDescent="0.25">
      <c r="G2857" s="1"/>
    </row>
    <row r="2858" spans="7:7" x14ac:dyDescent="0.25">
      <c r="G2858" s="1"/>
    </row>
    <row r="2859" spans="7:7" x14ac:dyDescent="0.25">
      <c r="G2859" s="1"/>
    </row>
    <row r="2860" spans="7:7" x14ac:dyDescent="0.25">
      <c r="G2860" s="1"/>
    </row>
    <row r="2861" spans="7:7" x14ac:dyDescent="0.25">
      <c r="G2861" s="1"/>
    </row>
    <row r="2862" spans="7:7" x14ac:dyDescent="0.25">
      <c r="G2862" s="1"/>
    </row>
    <row r="2863" spans="7:7" x14ac:dyDescent="0.25">
      <c r="G2863" s="1"/>
    </row>
    <row r="2864" spans="7:7" x14ac:dyDescent="0.25">
      <c r="G2864" s="1"/>
    </row>
    <row r="2865" spans="7:7" x14ac:dyDescent="0.25">
      <c r="G2865" s="1"/>
    </row>
    <row r="2866" spans="7:7" x14ac:dyDescent="0.25">
      <c r="G2866" s="1"/>
    </row>
    <row r="2867" spans="7:7" x14ac:dyDescent="0.25">
      <c r="G2867" s="1"/>
    </row>
    <row r="2868" spans="7:7" x14ac:dyDescent="0.25">
      <c r="G2868" s="1"/>
    </row>
    <row r="2869" spans="7:7" x14ac:dyDescent="0.25">
      <c r="G2869" s="1"/>
    </row>
    <row r="2870" spans="7:7" x14ac:dyDescent="0.25">
      <c r="G2870" s="1"/>
    </row>
    <row r="2871" spans="7:7" x14ac:dyDescent="0.25">
      <c r="G2871" s="1"/>
    </row>
    <row r="2872" spans="7:7" x14ac:dyDescent="0.25">
      <c r="G2872" s="1"/>
    </row>
    <row r="2873" spans="7:7" x14ac:dyDescent="0.25">
      <c r="G2873" s="1"/>
    </row>
    <row r="2874" spans="7:7" x14ac:dyDescent="0.25">
      <c r="G2874" s="1"/>
    </row>
    <row r="2875" spans="7:7" x14ac:dyDescent="0.25">
      <c r="G2875" s="1"/>
    </row>
    <row r="2876" spans="7:7" x14ac:dyDescent="0.25">
      <c r="G2876" s="1"/>
    </row>
    <row r="2877" spans="7:7" x14ac:dyDescent="0.25">
      <c r="G2877" s="1"/>
    </row>
    <row r="2878" spans="7:7" x14ac:dyDescent="0.25">
      <c r="G2878" s="1"/>
    </row>
    <row r="2879" spans="7:7" x14ac:dyDescent="0.25">
      <c r="G2879" s="1"/>
    </row>
    <row r="2880" spans="7:7" x14ac:dyDescent="0.25">
      <c r="G2880" s="1"/>
    </row>
    <row r="2881" spans="7:7" x14ac:dyDescent="0.25">
      <c r="G2881" s="1"/>
    </row>
    <row r="2882" spans="7:7" x14ac:dyDescent="0.25">
      <c r="G2882" s="1"/>
    </row>
    <row r="2883" spans="7:7" x14ac:dyDescent="0.25">
      <c r="G2883" s="1"/>
    </row>
    <row r="2884" spans="7:7" x14ac:dyDescent="0.25">
      <c r="G2884" s="1"/>
    </row>
    <row r="2885" spans="7:7" x14ac:dyDescent="0.25">
      <c r="G2885" s="1"/>
    </row>
    <row r="2886" spans="7:7" x14ac:dyDescent="0.25">
      <c r="G2886" s="1"/>
    </row>
    <row r="2887" spans="7:7" x14ac:dyDescent="0.25">
      <c r="G2887" s="1"/>
    </row>
    <row r="2888" spans="7:7" x14ac:dyDescent="0.25">
      <c r="G2888" s="1"/>
    </row>
    <row r="2889" spans="7:7" x14ac:dyDescent="0.25">
      <c r="G2889" s="1"/>
    </row>
    <row r="2890" spans="7:7" x14ac:dyDescent="0.25">
      <c r="G2890" s="1"/>
    </row>
    <row r="2891" spans="7:7" x14ac:dyDescent="0.25">
      <c r="G2891" s="1"/>
    </row>
    <row r="2892" spans="7:7" x14ac:dyDescent="0.25">
      <c r="G2892" s="1"/>
    </row>
    <row r="2893" spans="7:7" x14ac:dyDescent="0.25">
      <c r="G2893" s="1"/>
    </row>
    <row r="2894" spans="7:7" x14ac:dyDescent="0.25">
      <c r="G2894" s="1"/>
    </row>
    <row r="2895" spans="7:7" x14ac:dyDescent="0.25">
      <c r="G2895" s="1"/>
    </row>
    <row r="2896" spans="7:7" x14ac:dyDescent="0.25">
      <c r="G2896" s="1"/>
    </row>
    <row r="2897" spans="7:7" x14ac:dyDescent="0.25">
      <c r="G2897" s="1"/>
    </row>
    <row r="2898" spans="7:7" x14ac:dyDescent="0.25">
      <c r="G2898" s="1"/>
    </row>
    <row r="2899" spans="7:7" x14ac:dyDescent="0.25">
      <c r="G2899" s="1"/>
    </row>
    <row r="2900" spans="7:7" x14ac:dyDescent="0.25">
      <c r="G2900" s="1"/>
    </row>
    <row r="2901" spans="7:7" x14ac:dyDescent="0.25">
      <c r="G2901" s="1"/>
    </row>
    <row r="2902" spans="7:7" x14ac:dyDescent="0.25">
      <c r="G2902" s="1"/>
    </row>
    <row r="2903" spans="7:7" x14ac:dyDescent="0.25">
      <c r="G2903" s="1"/>
    </row>
    <row r="2904" spans="7:7" x14ac:dyDescent="0.25">
      <c r="G2904" s="1"/>
    </row>
    <row r="2905" spans="7:7" x14ac:dyDescent="0.25">
      <c r="G2905" s="1"/>
    </row>
    <row r="2906" spans="7:7" x14ac:dyDescent="0.25">
      <c r="G2906" s="1"/>
    </row>
    <row r="2907" spans="7:7" x14ac:dyDescent="0.25">
      <c r="G2907" s="1"/>
    </row>
    <row r="2908" spans="7:7" x14ac:dyDescent="0.25">
      <c r="G2908" s="1"/>
    </row>
    <row r="2909" spans="7:7" x14ac:dyDescent="0.25">
      <c r="G2909" s="1"/>
    </row>
    <row r="2910" spans="7:7" x14ac:dyDescent="0.25">
      <c r="G2910" s="1"/>
    </row>
    <row r="2911" spans="7:7" x14ac:dyDescent="0.25">
      <c r="G2911" s="1"/>
    </row>
    <row r="2912" spans="7:7" x14ac:dyDescent="0.25">
      <c r="G2912" s="1"/>
    </row>
    <row r="2913" spans="7:7" x14ac:dyDescent="0.25">
      <c r="G2913" s="1"/>
    </row>
    <row r="2914" spans="7:7" x14ac:dyDescent="0.25">
      <c r="G2914" s="1"/>
    </row>
    <row r="2915" spans="7:7" x14ac:dyDescent="0.25">
      <c r="G2915" s="1"/>
    </row>
    <row r="2916" spans="7:7" x14ac:dyDescent="0.25">
      <c r="G2916" s="1"/>
    </row>
    <row r="2917" spans="7:7" x14ac:dyDescent="0.25">
      <c r="G2917" s="1"/>
    </row>
    <row r="2918" spans="7:7" x14ac:dyDescent="0.25">
      <c r="G2918" s="1"/>
    </row>
    <row r="2919" spans="7:7" x14ac:dyDescent="0.25">
      <c r="G2919" s="1"/>
    </row>
    <row r="2920" spans="7:7" x14ac:dyDescent="0.25">
      <c r="G2920" s="1"/>
    </row>
    <row r="2921" spans="7:7" x14ac:dyDescent="0.25">
      <c r="G2921" s="1"/>
    </row>
    <row r="2922" spans="7:7" x14ac:dyDescent="0.25">
      <c r="G2922" s="1"/>
    </row>
    <row r="2923" spans="7:7" x14ac:dyDescent="0.25">
      <c r="G2923" s="1"/>
    </row>
    <row r="2924" spans="7:7" x14ac:dyDescent="0.25">
      <c r="G2924" s="1"/>
    </row>
    <row r="2925" spans="7:7" x14ac:dyDescent="0.25">
      <c r="G2925" s="1"/>
    </row>
    <row r="2926" spans="7:7" x14ac:dyDescent="0.25">
      <c r="G2926" s="1"/>
    </row>
    <row r="2927" spans="7:7" x14ac:dyDescent="0.25">
      <c r="G2927" s="1"/>
    </row>
    <row r="2928" spans="7:7" x14ac:dyDescent="0.25">
      <c r="G2928" s="1"/>
    </row>
    <row r="2929" spans="7:7" x14ac:dyDescent="0.25">
      <c r="G2929" s="1"/>
    </row>
    <row r="2930" spans="7:7" x14ac:dyDescent="0.25">
      <c r="G2930" s="1"/>
    </row>
    <row r="2931" spans="7:7" x14ac:dyDescent="0.25">
      <c r="G2931" s="1"/>
    </row>
    <row r="2932" spans="7:7" x14ac:dyDescent="0.25">
      <c r="G2932" s="1"/>
    </row>
    <row r="2933" spans="7:7" x14ac:dyDescent="0.25">
      <c r="G2933" s="1"/>
    </row>
    <row r="2934" spans="7:7" x14ac:dyDescent="0.25">
      <c r="G2934" s="1"/>
    </row>
    <row r="2935" spans="7:7" x14ac:dyDescent="0.25">
      <c r="G2935" s="1"/>
    </row>
    <row r="2936" spans="7:7" x14ac:dyDescent="0.25">
      <c r="G2936" s="1"/>
    </row>
    <row r="2937" spans="7:7" x14ac:dyDescent="0.25">
      <c r="G2937" s="1"/>
    </row>
    <row r="2938" spans="7:7" x14ac:dyDescent="0.25">
      <c r="G2938" s="1"/>
    </row>
    <row r="2939" spans="7:7" x14ac:dyDescent="0.25">
      <c r="G2939" s="1"/>
    </row>
    <row r="2940" spans="7:7" x14ac:dyDescent="0.25">
      <c r="G2940" s="1"/>
    </row>
    <row r="2941" spans="7:7" x14ac:dyDescent="0.25">
      <c r="G2941" s="1"/>
    </row>
    <row r="2942" spans="7:7" x14ac:dyDescent="0.25">
      <c r="G2942" s="1"/>
    </row>
    <row r="2943" spans="7:7" x14ac:dyDescent="0.25">
      <c r="G2943" s="1"/>
    </row>
    <row r="2944" spans="7:7" x14ac:dyDescent="0.25">
      <c r="G2944" s="1"/>
    </row>
    <row r="2945" spans="7:7" x14ac:dyDescent="0.25">
      <c r="G2945" s="1"/>
    </row>
    <row r="2946" spans="7:7" x14ac:dyDescent="0.25">
      <c r="G2946" s="1"/>
    </row>
    <row r="2947" spans="7:7" x14ac:dyDescent="0.25">
      <c r="G2947" s="1"/>
    </row>
    <row r="2948" spans="7:7" x14ac:dyDescent="0.25">
      <c r="G2948" s="1"/>
    </row>
    <row r="2949" spans="7:7" x14ac:dyDescent="0.25">
      <c r="G2949" s="1"/>
    </row>
    <row r="2950" spans="7:7" x14ac:dyDescent="0.25">
      <c r="G2950" s="1"/>
    </row>
    <row r="2951" spans="7:7" x14ac:dyDescent="0.25">
      <c r="G2951" s="1"/>
    </row>
    <row r="2952" spans="7:7" x14ac:dyDescent="0.25">
      <c r="G2952" s="1"/>
    </row>
    <row r="2953" spans="7:7" x14ac:dyDescent="0.25">
      <c r="G2953" s="1"/>
    </row>
    <row r="2954" spans="7:7" x14ac:dyDescent="0.25">
      <c r="G2954" s="1"/>
    </row>
    <row r="2955" spans="7:7" x14ac:dyDescent="0.25">
      <c r="G2955" s="1"/>
    </row>
    <row r="2956" spans="7:7" x14ac:dyDescent="0.25">
      <c r="G2956" s="1"/>
    </row>
    <row r="2957" spans="7:7" x14ac:dyDescent="0.25">
      <c r="G2957" s="1"/>
    </row>
    <row r="2958" spans="7:7" x14ac:dyDescent="0.25">
      <c r="G2958" s="1"/>
    </row>
    <row r="2959" spans="7:7" x14ac:dyDescent="0.25">
      <c r="G2959" s="1"/>
    </row>
    <row r="2960" spans="7:7" x14ac:dyDescent="0.25">
      <c r="G2960" s="1"/>
    </row>
    <row r="2961" spans="7:7" x14ac:dyDescent="0.25">
      <c r="G2961" s="1"/>
    </row>
    <row r="2962" spans="7:7" x14ac:dyDescent="0.25">
      <c r="G2962" s="1"/>
    </row>
    <row r="2963" spans="7:7" x14ac:dyDescent="0.25">
      <c r="G2963" s="1"/>
    </row>
    <row r="2964" spans="7:7" x14ac:dyDescent="0.25">
      <c r="G2964" s="1"/>
    </row>
    <row r="2965" spans="7:7" x14ac:dyDescent="0.25">
      <c r="G2965" s="1"/>
    </row>
    <row r="2966" spans="7:7" x14ac:dyDescent="0.25">
      <c r="G2966" s="1"/>
    </row>
    <row r="2967" spans="7:7" x14ac:dyDescent="0.25">
      <c r="G2967" s="1"/>
    </row>
    <row r="2968" spans="7:7" x14ac:dyDescent="0.25">
      <c r="G2968" s="1"/>
    </row>
    <row r="2969" spans="7:7" x14ac:dyDescent="0.25">
      <c r="G2969" s="1"/>
    </row>
    <row r="2970" spans="7:7" x14ac:dyDescent="0.25">
      <c r="G2970" s="1"/>
    </row>
    <row r="2971" spans="7:7" x14ac:dyDescent="0.25">
      <c r="G2971" s="1"/>
    </row>
    <row r="2972" spans="7:7" x14ac:dyDescent="0.25">
      <c r="G2972" s="1"/>
    </row>
    <row r="2973" spans="7:7" x14ac:dyDescent="0.25">
      <c r="G2973" s="1"/>
    </row>
    <row r="2974" spans="7:7" x14ac:dyDescent="0.25">
      <c r="G2974" s="1"/>
    </row>
    <row r="2975" spans="7:7" x14ac:dyDescent="0.25">
      <c r="G2975" s="1"/>
    </row>
    <row r="2976" spans="7:7" x14ac:dyDescent="0.25">
      <c r="G2976" s="1"/>
    </row>
    <row r="2977" spans="7:7" x14ac:dyDescent="0.25">
      <c r="G2977" s="1"/>
    </row>
    <row r="2978" spans="7:7" x14ac:dyDescent="0.25">
      <c r="G2978" s="1"/>
    </row>
    <row r="2979" spans="7:7" x14ac:dyDescent="0.25">
      <c r="G2979" s="1"/>
    </row>
    <row r="2980" spans="7:7" x14ac:dyDescent="0.25">
      <c r="G2980" s="1"/>
    </row>
    <row r="2981" spans="7:7" x14ac:dyDescent="0.25">
      <c r="G2981" s="1"/>
    </row>
    <row r="2982" spans="7:7" x14ac:dyDescent="0.25">
      <c r="G2982" s="1"/>
    </row>
    <row r="2983" spans="7:7" x14ac:dyDescent="0.25">
      <c r="G2983" s="1"/>
    </row>
    <row r="2984" spans="7:7" x14ac:dyDescent="0.25">
      <c r="G2984" s="1"/>
    </row>
    <row r="2985" spans="7:7" x14ac:dyDescent="0.25">
      <c r="G2985" s="1"/>
    </row>
    <row r="2986" spans="7:7" x14ac:dyDescent="0.25">
      <c r="G2986" s="1"/>
    </row>
    <row r="2987" spans="7:7" x14ac:dyDescent="0.25">
      <c r="G2987" s="1"/>
    </row>
    <row r="2988" spans="7:7" x14ac:dyDescent="0.25">
      <c r="G2988" s="1"/>
    </row>
    <row r="2989" spans="7:7" x14ac:dyDescent="0.25">
      <c r="G2989" s="1"/>
    </row>
    <row r="2990" spans="7:7" x14ac:dyDescent="0.25">
      <c r="G2990" s="1"/>
    </row>
    <row r="2991" spans="7:7" x14ac:dyDescent="0.25">
      <c r="G2991" s="1"/>
    </row>
    <row r="2992" spans="7:7" x14ac:dyDescent="0.25">
      <c r="G2992" s="1"/>
    </row>
    <row r="2993" spans="7:7" x14ac:dyDescent="0.25">
      <c r="G2993" s="1"/>
    </row>
    <row r="2994" spans="7:7" x14ac:dyDescent="0.25">
      <c r="G2994" s="1"/>
    </row>
    <row r="2995" spans="7:7" x14ac:dyDescent="0.25">
      <c r="G2995" s="1"/>
    </row>
    <row r="2996" spans="7:7" x14ac:dyDescent="0.25">
      <c r="G2996" s="1"/>
    </row>
    <row r="2997" spans="7:7" x14ac:dyDescent="0.25">
      <c r="G2997" s="1"/>
    </row>
    <row r="2998" spans="7:7" x14ac:dyDescent="0.25">
      <c r="G2998" s="1"/>
    </row>
    <row r="2999" spans="7:7" x14ac:dyDescent="0.25">
      <c r="G2999" s="1"/>
    </row>
    <row r="3000" spans="7:7" x14ac:dyDescent="0.25">
      <c r="G3000" s="1"/>
    </row>
    <row r="3001" spans="7:7" x14ac:dyDescent="0.25">
      <c r="G3001" s="1"/>
    </row>
    <row r="3002" spans="7:7" x14ac:dyDescent="0.25">
      <c r="G3002" s="1"/>
    </row>
    <row r="3003" spans="7:7" x14ac:dyDescent="0.25">
      <c r="G3003" s="1"/>
    </row>
    <row r="3004" spans="7:7" x14ac:dyDescent="0.25">
      <c r="G3004" s="1"/>
    </row>
    <row r="3005" spans="7:7" x14ac:dyDescent="0.25">
      <c r="G3005" s="1"/>
    </row>
    <row r="3006" spans="7:7" x14ac:dyDescent="0.25">
      <c r="G3006" s="1"/>
    </row>
    <row r="3007" spans="7:7" x14ac:dyDescent="0.25">
      <c r="G3007" s="1"/>
    </row>
    <row r="3008" spans="7:7" x14ac:dyDescent="0.25">
      <c r="G3008" s="1"/>
    </row>
    <row r="3009" spans="7:7" x14ac:dyDescent="0.25">
      <c r="G3009" s="1"/>
    </row>
    <row r="3010" spans="7:7" x14ac:dyDescent="0.25">
      <c r="G3010" s="1"/>
    </row>
    <row r="3011" spans="7:7" x14ac:dyDescent="0.25">
      <c r="G3011" s="1"/>
    </row>
    <row r="3012" spans="7:7" x14ac:dyDescent="0.25">
      <c r="G3012" s="1"/>
    </row>
    <row r="3013" spans="7:7" x14ac:dyDescent="0.25">
      <c r="G3013" s="1"/>
    </row>
    <row r="3014" spans="7:7" x14ac:dyDescent="0.25">
      <c r="G3014" s="1"/>
    </row>
    <row r="3015" spans="7:7" x14ac:dyDescent="0.25">
      <c r="G3015" s="1"/>
    </row>
    <row r="3016" spans="7:7" x14ac:dyDescent="0.25">
      <c r="G3016" s="1"/>
    </row>
    <row r="3017" spans="7:7" x14ac:dyDescent="0.25">
      <c r="G3017" s="1"/>
    </row>
    <row r="3018" spans="7:7" x14ac:dyDescent="0.25">
      <c r="G3018" s="1"/>
    </row>
    <row r="3019" spans="7:7" x14ac:dyDescent="0.25">
      <c r="G3019" s="1"/>
    </row>
    <row r="3020" spans="7:7" x14ac:dyDescent="0.25">
      <c r="G3020" s="1"/>
    </row>
    <row r="3021" spans="7:7" x14ac:dyDescent="0.25">
      <c r="G3021" s="1"/>
    </row>
    <row r="3022" spans="7:7" x14ac:dyDescent="0.25">
      <c r="G3022" s="1"/>
    </row>
    <row r="3023" spans="7:7" x14ac:dyDescent="0.25">
      <c r="G3023" s="1"/>
    </row>
    <row r="3024" spans="7:7" x14ac:dyDescent="0.25">
      <c r="G3024" s="1"/>
    </row>
    <row r="3025" spans="7:7" x14ac:dyDescent="0.25">
      <c r="G3025" s="1"/>
    </row>
    <row r="3026" spans="7:7" x14ac:dyDescent="0.25">
      <c r="G3026" s="1"/>
    </row>
    <row r="3027" spans="7:7" x14ac:dyDescent="0.25">
      <c r="G3027" s="1"/>
    </row>
    <row r="3028" spans="7:7" x14ac:dyDescent="0.25">
      <c r="G3028" s="1"/>
    </row>
    <row r="3029" spans="7:7" x14ac:dyDescent="0.25">
      <c r="G3029" s="1"/>
    </row>
    <row r="3030" spans="7:7" x14ac:dyDescent="0.25">
      <c r="G3030" s="1"/>
    </row>
    <row r="3031" spans="7:7" x14ac:dyDescent="0.25">
      <c r="G3031" s="1"/>
    </row>
    <row r="3032" spans="7:7" x14ac:dyDescent="0.25">
      <c r="G3032" s="1"/>
    </row>
    <row r="3033" spans="7:7" x14ac:dyDescent="0.25">
      <c r="G3033" s="1"/>
    </row>
    <row r="3034" spans="7:7" x14ac:dyDescent="0.25">
      <c r="G3034" s="1"/>
    </row>
    <row r="3035" spans="7:7" x14ac:dyDescent="0.25">
      <c r="G3035" s="1"/>
    </row>
    <row r="3036" spans="7:7" x14ac:dyDescent="0.25">
      <c r="G3036" s="1"/>
    </row>
    <row r="3037" spans="7:7" x14ac:dyDescent="0.25">
      <c r="G3037" s="1"/>
    </row>
    <row r="3038" spans="7:7" x14ac:dyDescent="0.25">
      <c r="G3038" s="1"/>
    </row>
    <row r="3039" spans="7:7" x14ac:dyDescent="0.25">
      <c r="G3039" s="1"/>
    </row>
    <row r="3040" spans="7:7" x14ac:dyDescent="0.25">
      <c r="G3040" s="1"/>
    </row>
    <row r="3041" spans="7:7" x14ac:dyDescent="0.25">
      <c r="G3041" s="1"/>
    </row>
    <row r="3042" spans="7:7" x14ac:dyDescent="0.25">
      <c r="G3042" s="1"/>
    </row>
    <row r="3043" spans="7:7" x14ac:dyDescent="0.25">
      <c r="G3043" s="1"/>
    </row>
    <row r="3044" spans="7:7" x14ac:dyDescent="0.25">
      <c r="G3044" s="1"/>
    </row>
    <row r="3045" spans="7:7" x14ac:dyDescent="0.25">
      <c r="G3045" s="1"/>
    </row>
    <row r="3046" spans="7:7" x14ac:dyDescent="0.25">
      <c r="G3046" s="1"/>
    </row>
    <row r="3047" spans="7:7" x14ac:dyDescent="0.25">
      <c r="G3047" s="1"/>
    </row>
    <row r="3048" spans="7:7" x14ac:dyDescent="0.25">
      <c r="G3048" s="1"/>
    </row>
    <row r="3049" spans="7:7" x14ac:dyDescent="0.25">
      <c r="G3049" s="1"/>
    </row>
    <row r="3050" spans="7:7" x14ac:dyDescent="0.25">
      <c r="G3050" s="1"/>
    </row>
    <row r="3051" spans="7:7" x14ac:dyDescent="0.25">
      <c r="G3051" s="1"/>
    </row>
    <row r="3052" spans="7:7" x14ac:dyDescent="0.25">
      <c r="G3052" s="1"/>
    </row>
    <row r="3053" spans="7:7" x14ac:dyDescent="0.25">
      <c r="G3053" s="1"/>
    </row>
    <row r="3054" spans="7:7" x14ac:dyDescent="0.25">
      <c r="G3054" s="1"/>
    </row>
    <row r="3055" spans="7:7" x14ac:dyDescent="0.25">
      <c r="G3055" s="1"/>
    </row>
    <row r="3056" spans="7:7" x14ac:dyDescent="0.25">
      <c r="G3056" s="1"/>
    </row>
    <row r="3057" spans="7:7" x14ac:dyDescent="0.25">
      <c r="G3057" s="1"/>
    </row>
    <row r="3058" spans="7:7" x14ac:dyDescent="0.25">
      <c r="G3058" s="1"/>
    </row>
    <row r="3059" spans="7:7" x14ac:dyDescent="0.25">
      <c r="G3059" s="1"/>
    </row>
    <row r="3060" spans="7:7" x14ac:dyDescent="0.25">
      <c r="G3060" s="1"/>
    </row>
    <row r="3061" spans="7:7" x14ac:dyDescent="0.25">
      <c r="G3061" s="1"/>
    </row>
    <row r="3062" spans="7:7" x14ac:dyDescent="0.25">
      <c r="G3062" s="1"/>
    </row>
    <row r="3063" spans="7:7" x14ac:dyDescent="0.25">
      <c r="G3063" s="1"/>
    </row>
    <row r="3064" spans="7:7" x14ac:dyDescent="0.25">
      <c r="G3064" s="1"/>
    </row>
    <row r="3065" spans="7:7" x14ac:dyDescent="0.25">
      <c r="G3065" s="1"/>
    </row>
    <row r="3066" spans="7:7" x14ac:dyDescent="0.25">
      <c r="G3066" s="1"/>
    </row>
    <row r="3067" spans="7:7" x14ac:dyDescent="0.25">
      <c r="G3067" s="1"/>
    </row>
    <row r="3068" spans="7:7" x14ac:dyDescent="0.25">
      <c r="G3068" s="1"/>
    </row>
    <row r="3069" spans="7:7" x14ac:dyDescent="0.25">
      <c r="G3069" s="1"/>
    </row>
    <row r="3070" spans="7:7" x14ac:dyDescent="0.25">
      <c r="G3070" s="1"/>
    </row>
    <row r="3071" spans="7:7" x14ac:dyDescent="0.25">
      <c r="G3071" s="1"/>
    </row>
    <row r="3072" spans="7:7" x14ac:dyDescent="0.25">
      <c r="G3072" s="1"/>
    </row>
    <row r="3073" spans="7:7" x14ac:dyDescent="0.25">
      <c r="G3073" s="1"/>
    </row>
    <row r="3074" spans="7:7" x14ac:dyDescent="0.25">
      <c r="G3074" s="1"/>
    </row>
    <row r="3075" spans="7:7" x14ac:dyDescent="0.25">
      <c r="G3075" s="1"/>
    </row>
    <row r="3076" spans="7:7" x14ac:dyDescent="0.25">
      <c r="G3076" s="1"/>
    </row>
    <row r="3077" spans="7:7" x14ac:dyDescent="0.25">
      <c r="G3077" s="1"/>
    </row>
    <row r="3078" spans="7:7" x14ac:dyDescent="0.25">
      <c r="G3078" s="1"/>
    </row>
    <row r="3079" spans="7:7" x14ac:dyDescent="0.25">
      <c r="G3079" s="1"/>
    </row>
    <row r="3080" spans="7:7" x14ac:dyDescent="0.25">
      <c r="G3080" s="1"/>
    </row>
    <row r="3081" spans="7:7" x14ac:dyDescent="0.25">
      <c r="G3081" s="1"/>
    </row>
    <row r="3082" spans="7:7" x14ac:dyDescent="0.25">
      <c r="G3082" s="1"/>
    </row>
    <row r="3083" spans="7:7" x14ac:dyDescent="0.25">
      <c r="G3083" s="1"/>
    </row>
    <row r="3084" spans="7:7" x14ac:dyDescent="0.25">
      <c r="G3084" s="1"/>
    </row>
    <row r="3085" spans="7:7" x14ac:dyDescent="0.25">
      <c r="G3085" s="1"/>
    </row>
    <row r="3086" spans="7:7" x14ac:dyDescent="0.25">
      <c r="G3086" s="1"/>
    </row>
    <row r="3087" spans="7:7" x14ac:dyDescent="0.25">
      <c r="G3087" s="1"/>
    </row>
    <row r="3088" spans="7:7" x14ac:dyDescent="0.25">
      <c r="G3088" s="1"/>
    </row>
    <row r="3089" spans="7:7" x14ac:dyDescent="0.25">
      <c r="G3089" s="1"/>
    </row>
    <row r="3090" spans="7:7" x14ac:dyDescent="0.25">
      <c r="G3090" s="1"/>
    </row>
    <row r="3091" spans="7:7" x14ac:dyDescent="0.25">
      <c r="G3091" s="1"/>
    </row>
    <row r="3092" spans="7:7" x14ac:dyDescent="0.25">
      <c r="G3092" s="1"/>
    </row>
    <row r="3093" spans="7:7" x14ac:dyDescent="0.25">
      <c r="G3093" s="1"/>
    </row>
    <row r="3094" spans="7:7" x14ac:dyDescent="0.25">
      <c r="G3094" s="1"/>
    </row>
    <row r="3095" spans="7:7" x14ac:dyDescent="0.25">
      <c r="G3095" s="1"/>
    </row>
    <row r="3096" spans="7:7" x14ac:dyDescent="0.25">
      <c r="G3096" s="1"/>
    </row>
    <row r="3097" spans="7:7" x14ac:dyDescent="0.25">
      <c r="G3097" s="1"/>
    </row>
    <row r="3098" spans="7:7" x14ac:dyDescent="0.25">
      <c r="G3098" s="1"/>
    </row>
    <row r="3099" spans="7:7" x14ac:dyDescent="0.25">
      <c r="G3099" s="1"/>
    </row>
    <row r="3100" spans="7:7" x14ac:dyDescent="0.25">
      <c r="G3100" s="1"/>
    </row>
    <row r="3101" spans="7:7" x14ac:dyDescent="0.25">
      <c r="G3101" s="1"/>
    </row>
    <row r="3102" spans="7:7" x14ac:dyDescent="0.25">
      <c r="G3102" s="1"/>
    </row>
    <row r="3103" spans="7:7" x14ac:dyDescent="0.25">
      <c r="G3103" s="1"/>
    </row>
    <row r="3104" spans="7:7" x14ac:dyDescent="0.25">
      <c r="G3104" s="1"/>
    </row>
    <row r="3105" spans="7:7" x14ac:dyDescent="0.25">
      <c r="G3105" s="1"/>
    </row>
    <row r="3106" spans="7:7" x14ac:dyDescent="0.25">
      <c r="G3106" s="1"/>
    </row>
    <row r="3107" spans="7:7" x14ac:dyDescent="0.25">
      <c r="G3107" s="1"/>
    </row>
    <row r="3108" spans="7:7" x14ac:dyDescent="0.25">
      <c r="G3108" s="1"/>
    </row>
    <row r="3109" spans="7:7" x14ac:dyDescent="0.25">
      <c r="G3109" s="1"/>
    </row>
    <row r="3110" spans="7:7" x14ac:dyDescent="0.25">
      <c r="G3110" s="1"/>
    </row>
    <row r="3111" spans="7:7" x14ac:dyDescent="0.25">
      <c r="G3111" s="1"/>
    </row>
    <row r="3112" spans="7:7" x14ac:dyDescent="0.25">
      <c r="G3112" s="1"/>
    </row>
    <row r="3113" spans="7:7" x14ac:dyDescent="0.25">
      <c r="G3113" s="1"/>
    </row>
    <row r="3114" spans="7:7" x14ac:dyDescent="0.25">
      <c r="G3114" s="1"/>
    </row>
    <row r="3115" spans="7:7" x14ac:dyDescent="0.25">
      <c r="G3115" s="1"/>
    </row>
    <row r="3116" spans="7:7" x14ac:dyDescent="0.25">
      <c r="G3116" s="1"/>
    </row>
    <row r="3117" spans="7:7" x14ac:dyDescent="0.25">
      <c r="G3117" s="1"/>
    </row>
    <row r="3118" spans="7:7" x14ac:dyDescent="0.25">
      <c r="G3118" s="1"/>
    </row>
    <row r="3119" spans="7:7" x14ac:dyDescent="0.25">
      <c r="G3119" s="1"/>
    </row>
    <row r="3120" spans="7:7" x14ac:dyDescent="0.25">
      <c r="G3120" s="1"/>
    </row>
    <row r="3121" spans="7:7" x14ac:dyDescent="0.25">
      <c r="G3121" s="1"/>
    </row>
    <row r="3122" spans="7:7" x14ac:dyDescent="0.25">
      <c r="G3122" s="1"/>
    </row>
    <row r="3123" spans="7:7" x14ac:dyDescent="0.25">
      <c r="G3123" s="1"/>
    </row>
    <row r="3124" spans="7:7" x14ac:dyDescent="0.25">
      <c r="G3124" s="1"/>
    </row>
    <row r="3125" spans="7:7" x14ac:dyDescent="0.25">
      <c r="G3125" s="1"/>
    </row>
    <row r="3126" spans="7:7" x14ac:dyDescent="0.25">
      <c r="G3126" s="1"/>
    </row>
    <row r="3127" spans="7:7" x14ac:dyDescent="0.25">
      <c r="G3127" s="1"/>
    </row>
    <row r="3128" spans="7:7" x14ac:dyDescent="0.25">
      <c r="G3128" s="1"/>
    </row>
    <row r="3129" spans="7:7" x14ac:dyDescent="0.25">
      <c r="G3129" s="1"/>
    </row>
    <row r="3130" spans="7:7" x14ac:dyDescent="0.25">
      <c r="G3130" s="1"/>
    </row>
    <row r="3131" spans="7:7" x14ac:dyDescent="0.25">
      <c r="G3131" s="1"/>
    </row>
    <row r="3132" spans="7:7" x14ac:dyDescent="0.25">
      <c r="G3132" s="1"/>
    </row>
    <row r="3133" spans="7:7" x14ac:dyDescent="0.25">
      <c r="G3133" s="1"/>
    </row>
    <row r="3134" spans="7:7" x14ac:dyDescent="0.25">
      <c r="G3134" s="1"/>
    </row>
    <row r="3135" spans="7:7" x14ac:dyDescent="0.25">
      <c r="G3135" s="1"/>
    </row>
    <row r="3136" spans="7:7" x14ac:dyDescent="0.25">
      <c r="G3136" s="1"/>
    </row>
    <row r="3137" spans="7:7" x14ac:dyDescent="0.25">
      <c r="G3137" s="1"/>
    </row>
    <row r="3138" spans="7:7" x14ac:dyDescent="0.25">
      <c r="G3138" s="1"/>
    </row>
    <row r="3139" spans="7:7" x14ac:dyDescent="0.25">
      <c r="G3139" s="1"/>
    </row>
    <row r="3140" spans="7:7" x14ac:dyDescent="0.25">
      <c r="G3140" s="1"/>
    </row>
    <row r="3141" spans="7:7" x14ac:dyDescent="0.25">
      <c r="G3141" s="1"/>
    </row>
    <row r="3142" spans="7:7" x14ac:dyDescent="0.25">
      <c r="G3142" s="1"/>
    </row>
    <row r="3143" spans="7:7" x14ac:dyDescent="0.25">
      <c r="G3143" s="1"/>
    </row>
    <row r="3144" spans="7:7" x14ac:dyDescent="0.25">
      <c r="G3144" s="1"/>
    </row>
    <row r="3145" spans="7:7" x14ac:dyDescent="0.25">
      <c r="G3145" s="1"/>
    </row>
    <row r="3146" spans="7:7" x14ac:dyDescent="0.25">
      <c r="G3146" s="1"/>
    </row>
    <row r="3147" spans="7:7" x14ac:dyDescent="0.25">
      <c r="G3147" s="1"/>
    </row>
    <row r="3148" spans="7:7" x14ac:dyDescent="0.25">
      <c r="G3148" s="1"/>
    </row>
    <row r="3149" spans="7:7" x14ac:dyDescent="0.25">
      <c r="G3149" s="1"/>
    </row>
    <row r="3150" spans="7:7" x14ac:dyDescent="0.25">
      <c r="G3150" s="1"/>
    </row>
    <row r="3151" spans="7:7" x14ac:dyDescent="0.25">
      <c r="G3151" s="1"/>
    </row>
    <row r="3152" spans="7:7" x14ac:dyDescent="0.25">
      <c r="G3152" s="1"/>
    </row>
    <row r="3153" spans="7:7" x14ac:dyDescent="0.25">
      <c r="G3153" s="1"/>
    </row>
    <row r="3154" spans="7:7" x14ac:dyDescent="0.25">
      <c r="G3154" s="1"/>
    </row>
    <row r="3155" spans="7:7" x14ac:dyDescent="0.25">
      <c r="G3155" s="1"/>
    </row>
    <row r="3156" spans="7:7" x14ac:dyDescent="0.25">
      <c r="G3156" s="1"/>
    </row>
    <row r="3157" spans="7:7" x14ac:dyDescent="0.25">
      <c r="G3157" s="1"/>
    </row>
    <row r="3158" spans="7:7" x14ac:dyDescent="0.25">
      <c r="G3158" s="1"/>
    </row>
    <row r="3159" spans="7:7" x14ac:dyDescent="0.25">
      <c r="G3159" s="1"/>
    </row>
    <row r="3160" spans="7:7" x14ac:dyDescent="0.25">
      <c r="G3160" s="1"/>
    </row>
    <row r="3161" spans="7:7" x14ac:dyDescent="0.25">
      <c r="G3161" s="1"/>
    </row>
    <row r="3162" spans="7:7" x14ac:dyDescent="0.25">
      <c r="G3162" s="1"/>
    </row>
    <row r="3163" spans="7:7" x14ac:dyDescent="0.25">
      <c r="G3163" s="1"/>
    </row>
    <row r="3164" spans="7:7" x14ac:dyDescent="0.25">
      <c r="G3164" s="1"/>
    </row>
    <row r="3165" spans="7:7" x14ac:dyDescent="0.25">
      <c r="G3165" s="1"/>
    </row>
    <row r="3166" spans="7:7" x14ac:dyDescent="0.25">
      <c r="G3166" s="1"/>
    </row>
    <row r="3167" spans="7:7" x14ac:dyDescent="0.25">
      <c r="G3167" s="1"/>
    </row>
    <row r="3168" spans="7:7" x14ac:dyDescent="0.25">
      <c r="G3168" s="1"/>
    </row>
    <row r="3169" spans="7:7" x14ac:dyDescent="0.25">
      <c r="G3169" s="1"/>
    </row>
    <row r="3170" spans="7:7" x14ac:dyDescent="0.25">
      <c r="G3170" s="1"/>
    </row>
    <row r="3171" spans="7:7" x14ac:dyDescent="0.25">
      <c r="G3171" s="1"/>
    </row>
    <row r="3172" spans="7:7" x14ac:dyDescent="0.25">
      <c r="G3172" s="1"/>
    </row>
    <row r="3173" spans="7:7" x14ac:dyDescent="0.25">
      <c r="G3173" s="1"/>
    </row>
    <row r="3174" spans="7:7" x14ac:dyDescent="0.25">
      <c r="G3174" s="1"/>
    </row>
    <row r="3175" spans="7:7" x14ac:dyDescent="0.25">
      <c r="G3175" s="1"/>
    </row>
    <row r="3176" spans="7:7" x14ac:dyDescent="0.25">
      <c r="G3176" s="1"/>
    </row>
    <row r="3177" spans="7:7" x14ac:dyDescent="0.25">
      <c r="G3177" s="1"/>
    </row>
    <row r="3178" spans="7:7" x14ac:dyDescent="0.25">
      <c r="G3178" s="1"/>
    </row>
    <row r="3179" spans="7:7" x14ac:dyDescent="0.25">
      <c r="G3179" s="1"/>
    </row>
    <row r="3180" spans="7:7" x14ac:dyDescent="0.25">
      <c r="G3180" s="1"/>
    </row>
    <row r="3181" spans="7:7" x14ac:dyDescent="0.25">
      <c r="G3181" s="1"/>
    </row>
    <row r="3182" spans="7:7" x14ac:dyDescent="0.25">
      <c r="G3182" s="1"/>
    </row>
    <row r="3183" spans="7:7" x14ac:dyDescent="0.25">
      <c r="G3183" s="1"/>
    </row>
    <row r="3184" spans="7:7" x14ac:dyDescent="0.25">
      <c r="G3184" s="1"/>
    </row>
    <row r="3185" spans="7:7" x14ac:dyDescent="0.25">
      <c r="G3185" s="1"/>
    </row>
    <row r="3186" spans="7:7" x14ac:dyDescent="0.25">
      <c r="G3186" s="1"/>
    </row>
    <row r="3187" spans="7:7" x14ac:dyDescent="0.25">
      <c r="G3187" s="1"/>
    </row>
    <row r="3188" spans="7:7" x14ac:dyDescent="0.25">
      <c r="G3188" s="1"/>
    </row>
    <row r="3189" spans="7:7" x14ac:dyDescent="0.25">
      <c r="G3189" s="1"/>
    </row>
    <row r="3190" spans="7:7" x14ac:dyDescent="0.25">
      <c r="G3190" s="1"/>
    </row>
    <row r="3191" spans="7:7" x14ac:dyDescent="0.25">
      <c r="G3191" s="1"/>
    </row>
    <row r="3192" spans="7:7" x14ac:dyDescent="0.25">
      <c r="G3192" s="1"/>
    </row>
    <row r="3193" spans="7:7" x14ac:dyDescent="0.25">
      <c r="G3193" s="1"/>
    </row>
    <row r="3194" spans="7:7" x14ac:dyDescent="0.25">
      <c r="G3194" s="1"/>
    </row>
    <row r="3195" spans="7:7" x14ac:dyDescent="0.25">
      <c r="G3195" s="1"/>
    </row>
    <row r="3196" spans="7:7" x14ac:dyDescent="0.25">
      <c r="G3196" s="1"/>
    </row>
    <row r="3197" spans="7:7" x14ac:dyDescent="0.25">
      <c r="G3197" s="1"/>
    </row>
    <row r="3198" spans="7:7" x14ac:dyDescent="0.25">
      <c r="G3198" s="1"/>
    </row>
    <row r="3199" spans="7:7" x14ac:dyDescent="0.25">
      <c r="G3199" s="1"/>
    </row>
    <row r="3200" spans="7:7" x14ac:dyDescent="0.25">
      <c r="G3200" s="1"/>
    </row>
    <row r="3201" spans="7:7" x14ac:dyDescent="0.25">
      <c r="G3201" s="1"/>
    </row>
    <row r="3202" spans="7:7" x14ac:dyDescent="0.25">
      <c r="G3202" s="1"/>
    </row>
    <row r="3203" spans="7:7" x14ac:dyDescent="0.25">
      <c r="G3203" s="1"/>
    </row>
    <row r="3204" spans="7:7" x14ac:dyDescent="0.25">
      <c r="G3204" s="1"/>
    </row>
    <row r="3205" spans="7:7" x14ac:dyDescent="0.25">
      <c r="G3205" s="1"/>
    </row>
    <row r="3206" spans="7:7" x14ac:dyDescent="0.25">
      <c r="G3206" s="1"/>
    </row>
    <row r="3207" spans="7:7" x14ac:dyDescent="0.25">
      <c r="G3207" s="1"/>
    </row>
    <row r="3208" spans="7:7" x14ac:dyDescent="0.25">
      <c r="G3208" s="1"/>
    </row>
    <row r="3209" spans="7:7" x14ac:dyDescent="0.25">
      <c r="G3209" s="1"/>
    </row>
    <row r="3210" spans="7:7" x14ac:dyDescent="0.25">
      <c r="G3210" s="1"/>
    </row>
    <row r="3211" spans="7:7" x14ac:dyDescent="0.25">
      <c r="G3211" s="1"/>
    </row>
    <row r="3212" spans="7:7" x14ac:dyDescent="0.25">
      <c r="G3212" s="1"/>
    </row>
    <row r="3213" spans="7:7" x14ac:dyDescent="0.25">
      <c r="G3213" s="1"/>
    </row>
    <row r="3214" spans="7:7" x14ac:dyDescent="0.25">
      <c r="G3214" s="1"/>
    </row>
    <row r="3215" spans="7:7" x14ac:dyDescent="0.25">
      <c r="G3215" s="1"/>
    </row>
    <row r="3216" spans="7:7" x14ac:dyDescent="0.25">
      <c r="G3216" s="1"/>
    </row>
    <row r="3217" spans="7:7" x14ac:dyDescent="0.25">
      <c r="G3217" s="1"/>
    </row>
    <row r="3218" spans="7:7" x14ac:dyDescent="0.25">
      <c r="G3218" s="1"/>
    </row>
    <row r="3219" spans="7:7" x14ac:dyDescent="0.25">
      <c r="G3219" s="1"/>
    </row>
    <row r="3220" spans="7:7" x14ac:dyDescent="0.25">
      <c r="G3220" s="1"/>
    </row>
    <row r="3221" spans="7:7" x14ac:dyDescent="0.25">
      <c r="G3221" s="1"/>
    </row>
    <row r="3222" spans="7:7" x14ac:dyDescent="0.25">
      <c r="G3222" s="1"/>
    </row>
    <row r="3223" spans="7:7" x14ac:dyDescent="0.25">
      <c r="G3223" s="1"/>
    </row>
    <row r="3224" spans="7:7" x14ac:dyDescent="0.25">
      <c r="G3224" s="1"/>
    </row>
    <row r="3225" spans="7:7" x14ac:dyDescent="0.25">
      <c r="G3225" s="1"/>
    </row>
    <row r="3226" spans="7:7" x14ac:dyDescent="0.25">
      <c r="G3226" s="1"/>
    </row>
    <row r="3227" spans="7:7" x14ac:dyDescent="0.25">
      <c r="G3227" s="1"/>
    </row>
    <row r="3228" spans="7:7" x14ac:dyDescent="0.25">
      <c r="G3228" s="1"/>
    </row>
    <row r="3229" spans="7:7" x14ac:dyDescent="0.25">
      <c r="G3229" s="1"/>
    </row>
    <row r="3230" spans="7:7" x14ac:dyDescent="0.25">
      <c r="G3230" s="1"/>
    </row>
    <row r="3231" spans="7:7" x14ac:dyDescent="0.25">
      <c r="G3231" s="1"/>
    </row>
    <row r="3232" spans="7:7" x14ac:dyDescent="0.25">
      <c r="G3232" s="1"/>
    </row>
    <row r="3233" spans="7:7" x14ac:dyDescent="0.25">
      <c r="G3233" s="1"/>
    </row>
    <row r="3234" spans="7:7" x14ac:dyDescent="0.25">
      <c r="G3234" s="1"/>
    </row>
    <row r="3235" spans="7:7" x14ac:dyDescent="0.25">
      <c r="G3235" s="1"/>
    </row>
    <row r="3236" spans="7:7" x14ac:dyDescent="0.25">
      <c r="G3236" s="1"/>
    </row>
    <row r="3237" spans="7:7" x14ac:dyDescent="0.25">
      <c r="G3237" s="1"/>
    </row>
    <row r="3238" spans="7:7" x14ac:dyDescent="0.25">
      <c r="G3238" s="1"/>
    </row>
    <row r="3239" spans="7:7" x14ac:dyDescent="0.25">
      <c r="G3239" s="1"/>
    </row>
    <row r="3240" spans="7:7" x14ac:dyDescent="0.25">
      <c r="G3240" s="1"/>
    </row>
    <row r="3241" spans="7:7" x14ac:dyDescent="0.25">
      <c r="G3241" s="1"/>
    </row>
    <row r="3242" spans="7:7" x14ac:dyDescent="0.25">
      <c r="G3242" s="1"/>
    </row>
    <row r="3243" spans="7:7" x14ac:dyDescent="0.25">
      <c r="G3243" s="1"/>
    </row>
    <row r="3244" spans="7:7" x14ac:dyDescent="0.25">
      <c r="G3244" s="1"/>
    </row>
    <row r="3245" spans="7:7" x14ac:dyDescent="0.25">
      <c r="G3245" s="1"/>
    </row>
    <row r="3246" spans="7:7" x14ac:dyDescent="0.25">
      <c r="G3246" s="1"/>
    </row>
    <row r="3247" spans="7:7" x14ac:dyDescent="0.25">
      <c r="G3247" s="1"/>
    </row>
    <row r="3248" spans="7:7" x14ac:dyDescent="0.25">
      <c r="G3248" s="1"/>
    </row>
    <row r="3249" spans="7:7" x14ac:dyDescent="0.25">
      <c r="G3249" s="1"/>
    </row>
    <row r="3250" spans="7:7" x14ac:dyDescent="0.25">
      <c r="G3250" s="1"/>
    </row>
    <row r="3251" spans="7:7" x14ac:dyDescent="0.25">
      <c r="G3251" s="1"/>
    </row>
    <row r="3252" spans="7:7" x14ac:dyDescent="0.25">
      <c r="G3252" s="1"/>
    </row>
    <row r="3253" spans="7:7" x14ac:dyDescent="0.25">
      <c r="G3253" s="1"/>
    </row>
    <row r="3254" spans="7:7" x14ac:dyDescent="0.25">
      <c r="G3254" s="1"/>
    </row>
    <row r="3255" spans="7:7" x14ac:dyDescent="0.25">
      <c r="G3255" s="1"/>
    </row>
    <row r="3256" spans="7:7" x14ac:dyDescent="0.25">
      <c r="G3256" s="1"/>
    </row>
    <row r="3257" spans="7:7" x14ac:dyDescent="0.25">
      <c r="G3257" s="1"/>
    </row>
    <row r="3258" spans="7:7" x14ac:dyDescent="0.25">
      <c r="G3258" s="1"/>
    </row>
    <row r="3259" spans="7:7" x14ac:dyDescent="0.25">
      <c r="G3259" s="1"/>
    </row>
    <row r="3260" spans="7:7" x14ac:dyDescent="0.25">
      <c r="G3260" s="1"/>
    </row>
    <row r="3261" spans="7:7" x14ac:dyDescent="0.25">
      <c r="G3261" s="1"/>
    </row>
    <row r="3262" spans="7:7" x14ac:dyDescent="0.25">
      <c r="G3262" s="1"/>
    </row>
    <row r="3263" spans="7:7" x14ac:dyDescent="0.25">
      <c r="G3263" s="1"/>
    </row>
    <row r="3264" spans="7:7" x14ac:dyDescent="0.25">
      <c r="G3264" s="1"/>
    </row>
    <row r="3265" spans="7:7" x14ac:dyDescent="0.25">
      <c r="G3265" s="1"/>
    </row>
    <row r="3266" spans="7:7" x14ac:dyDescent="0.25">
      <c r="G3266" s="1"/>
    </row>
    <row r="3267" spans="7:7" x14ac:dyDescent="0.25">
      <c r="G3267" s="1"/>
    </row>
    <row r="3268" spans="7:7" x14ac:dyDescent="0.25">
      <c r="G3268" s="1"/>
    </row>
    <row r="3269" spans="7:7" x14ac:dyDescent="0.25">
      <c r="G3269" s="1"/>
    </row>
    <row r="3270" spans="7:7" x14ac:dyDescent="0.25">
      <c r="G3270" s="1"/>
    </row>
    <row r="3271" spans="7:7" x14ac:dyDescent="0.25">
      <c r="G3271" s="1"/>
    </row>
    <row r="3272" spans="7:7" x14ac:dyDescent="0.25">
      <c r="G3272" s="1"/>
    </row>
    <row r="3273" spans="7:7" x14ac:dyDescent="0.25">
      <c r="G3273" s="1"/>
    </row>
    <row r="3274" spans="7:7" x14ac:dyDescent="0.25">
      <c r="G3274" s="1"/>
    </row>
    <row r="3275" spans="7:7" x14ac:dyDescent="0.25">
      <c r="G3275" s="1"/>
    </row>
    <row r="3276" spans="7:7" x14ac:dyDescent="0.25">
      <c r="G3276" s="1"/>
    </row>
    <row r="3277" spans="7:7" x14ac:dyDescent="0.25">
      <c r="G3277" s="1"/>
    </row>
    <row r="3278" spans="7:7" x14ac:dyDescent="0.25">
      <c r="G3278" s="1"/>
    </row>
    <row r="3279" spans="7:7" x14ac:dyDescent="0.25">
      <c r="G3279" s="1"/>
    </row>
    <row r="3280" spans="7:7" x14ac:dyDescent="0.25">
      <c r="G3280" s="1"/>
    </row>
    <row r="3281" spans="7:7" x14ac:dyDescent="0.25">
      <c r="G3281" s="1"/>
    </row>
    <row r="3282" spans="7:7" x14ac:dyDescent="0.25">
      <c r="G3282" s="1"/>
    </row>
    <row r="3283" spans="7:7" x14ac:dyDescent="0.25">
      <c r="G3283" s="1"/>
    </row>
    <row r="3284" spans="7:7" x14ac:dyDescent="0.25">
      <c r="G3284" s="1"/>
    </row>
    <row r="3285" spans="7:7" x14ac:dyDescent="0.25">
      <c r="G3285" s="1"/>
    </row>
    <row r="3286" spans="7:7" x14ac:dyDescent="0.25">
      <c r="G3286" s="1"/>
    </row>
    <row r="3287" spans="7:7" x14ac:dyDescent="0.25">
      <c r="G3287" s="1"/>
    </row>
    <row r="3288" spans="7:7" x14ac:dyDescent="0.25">
      <c r="G3288" s="1"/>
    </row>
    <row r="3289" spans="7:7" x14ac:dyDescent="0.25">
      <c r="G3289" s="1"/>
    </row>
    <row r="3290" spans="7:7" x14ac:dyDescent="0.25">
      <c r="G3290" s="1"/>
    </row>
    <row r="3291" spans="7:7" x14ac:dyDescent="0.25">
      <c r="G3291" s="1"/>
    </row>
    <row r="3292" spans="7:7" x14ac:dyDescent="0.25">
      <c r="G3292" s="1"/>
    </row>
    <row r="3293" spans="7:7" x14ac:dyDescent="0.25">
      <c r="G3293" s="1"/>
    </row>
    <row r="3294" spans="7:7" x14ac:dyDescent="0.25">
      <c r="G3294" s="1"/>
    </row>
    <row r="3295" spans="7:7" x14ac:dyDescent="0.25">
      <c r="G3295" s="1"/>
    </row>
    <row r="3296" spans="7:7" x14ac:dyDescent="0.25">
      <c r="G3296" s="1"/>
    </row>
    <row r="3297" spans="7:7" x14ac:dyDescent="0.25">
      <c r="G3297" s="1"/>
    </row>
    <row r="3298" spans="7:7" x14ac:dyDescent="0.25">
      <c r="G3298" s="1"/>
    </row>
    <row r="3299" spans="7:7" x14ac:dyDescent="0.25">
      <c r="G3299" s="1"/>
    </row>
    <row r="3300" spans="7:7" x14ac:dyDescent="0.25">
      <c r="G3300" s="1"/>
    </row>
    <row r="3301" spans="7:7" x14ac:dyDescent="0.25">
      <c r="G3301" s="1"/>
    </row>
    <row r="3302" spans="7:7" x14ac:dyDescent="0.25">
      <c r="G3302" s="1"/>
    </row>
    <row r="3303" spans="7:7" x14ac:dyDescent="0.25">
      <c r="G3303" s="1"/>
    </row>
    <row r="3304" spans="7:7" x14ac:dyDescent="0.25">
      <c r="G3304" s="1"/>
    </row>
    <row r="3305" spans="7:7" x14ac:dyDescent="0.25">
      <c r="G3305" s="1"/>
    </row>
    <row r="3306" spans="7:7" x14ac:dyDescent="0.25">
      <c r="G3306" s="1"/>
    </row>
    <row r="3307" spans="7:7" x14ac:dyDescent="0.25">
      <c r="G3307" s="1"/>
    </row>
    <row r="3308" spans="7:7" x14ac:dyDescent="0.25">
      <c r="G3308" s="1"/>
    </row>
    <row r="3309" spans="7:7" x14ac:dyDescent="0.25">
      <c r="G3309" s="1"/>
    </row>
    <row r="3310" spans="7:7" x14ac:dyDescent="0.25">
      <c r="G3310" s="1"/>
    </row>
    <row r="3311" spans="7:7" x14ac:dyDescent="0.25">
      <c r="G3311" s="1"/>
    </row>
    <row r="3312" spans="7:7" x14ac:dyDescent="0.25">
      <c r="G3312" s="1"/>
    </row>
    <row r="3313" spans="7:7" x14ac:dyDescent="0.25">
      <c r="G3313" s="1"/>
    </row>
    <row r="3314" spans="7:7" x14ac:dyDescent="0.25">
      <c r="G3314" s="1"/>
    </row>
    <row r="3315" spans="7:7" x14ac:dyDescent="0.25">
      <c r="G3315" s="1"/>
    </row>
    <row r="3316" spans="7:7" x14ac:dyDescent="0.25">
      <c r="G3316" s="1"/>
    </row>
    <row r="3317" spans="7:7" x14ac:dyDescent="0.25">
      <c r="G3317" s="1"/>
    </row>
    <row r="3318" spans="7:7" x14ac:dyDescent="0.25">
      <c r="G3318" s="1"/>
    </row>
    <row r="3319" spans="7:7" x14ac:dyDescent="0.25">
      <c r="G3319" s="1"/>
    </row>
    <row r="3320" spans="7:7" x14ac:dyDescent="0.25">
      <c r="G3320" s="1"/>
    </row>
    <row r="3321" spans="7:7" x14ac:dyDescent="0.25">
      <c r="G3321" s="1"/>
    </row>
    <row r="3322" spans="7:7" x14ac:dyDescent="0.25">
      <c r="G3322" s="1"/>
    </row>
    <row r="3323" spans="7:7" x14ac:dyDescent="0.25">
      <c r="G3323" s="1"/>
    </row>
    <row r="3324" spans="7:7" x14ac:dyDescent="0.25">
      <c r="G3324" s="1"/>
    </row>
    <row r="3325" spans="7:7" x14ac:dyDescent="0.25">
      <c r="G3325" s="1"/>
    </row>
    <row r="3326" spans="7:7" x14ac:dyDescent="0.25">
      <c r="G3326" s="1"/>
    </row>
    <row r="3327" spans="7:7" x14ac:dyDescent="0.25">
      <c r="G3327" s="1"/>
    </row>
    <row r="3328" spans="7:7" x14ac:dyDescent="0.25">
      <c r="G3328" s="1"/>
    </row>
    <row r="3329" spans="7:7" x14ac:dyDescent="0.25">
      <c r="G3329" s="1"/>
    </row>
    <row r="3330" spans="7:7" x14ac:dyDescent="0.25">
      <c r="G3330" s="1"/>
    </row>
    <row r="3331" spans="7:7" x14ac:dyDescent="0.25">
      <c r="G3331" s="1"/>
    </row>
    <row r="3332" spans="7:7" x14ac:dyDescent="0.25">
      <c r="G3332" s="1"/>
    </row>
    <row r="3333" spans="7:7" x14ac:dyDescent="0.25">
      <c r="G3333" s="1"/>
    </row>
    <row r="3334" spans="7:7" x14ac:dyDescent="0.25">
      <c r="G3334" s="1"/>
    </row>
    <row r="3335" spans="7:7" x14ac:dyDescent="0.25">
      <c r="G3335" s="1"/>
    </row>
    <row r="3336" spans="7:7" x14ac:dyDescent="0.25">
      <c r="G3336" s="1"/>
    </row>
    <row r="3337" spans="7:7" x14ac:dyDescent="0.25">
      <c r="G3337" s="1"/>
    </row>
    <row r="3338" spans="7:7" x14ac:dyDescent="0.25">
      <c r="G3338" s="1"/>
    </row>
    <row r="3339" spans="7:7" x14ac:dyDescent="0.25">
      <c r="G3339" s="1"/>
    </row>
    <row r="3340" spans="7:7" x14ac:dyDescent="0.25">
      <c r="G3340" s="1"/>
    </row>
    <row r="3341" spans="7:7" x14ac:dyDescent="0.25">
      <c r="G3341" s="1"/>
    </row>
    <row r="3342" spans="7:7" x14ac:dyDescent="0.25">
      <c r="G3342" s="1"/>
    </row>
    <row r="3343" spans="7:7" x14ac:dyDescent="0.25">
      <c r="G3343" s="1"/>
    </row>
    <row r="3344" spans="7:7" x14ac:dyDescent="0.25">
      <c r="G3344" s="1"/>
    </row>
    <row r="3345" spans="7:7" x14ac:dyDescent="0.25">
      <c r="G3345" s="1"/>
    </row>
    <row r="3346" spans="7:7" x14ac:dyDescent="0.25">
      <c r="G3346" s="1"/>
    </row>
    <row r="3347" spans="7:7" x14ac:dyDescent="0.25">
      <c r="G3347" s="1"/>
    </row>
    <row r="3348" spans="7:7" x14ac:dyDescent="0.25">
      <c r="G3348" s="1"/>
    </row>
    <row r="3349" spans="7:7" x14ac:dyDescent="0.25">
      <c r="G3349" s="1"/>
    </row>
    <row r="3350" spans="7:7" x14ac:dyDescent="0.25">
      <c r="G3350" s="1"/>
    </row>
    <row r="3351" spans="7:7" x14ac:dyDescent="0.25">
      <c r="G3351" s="1"/>
    </row>
    <row r="3352" spans="7:7" x14ac:dyDescent="0.25">
      <c r="G3352" s="1"/>
    </row>
    <row r="3353" spans="7:7" x14ac:dyDescent="0.25">
      <c r="G3353" s="1"/>
    </row>
    <row r="3354" spans="7:7" x14ac:dyDescent="0.25">
      <c r="G3354" s="1"/>
    </row>
    <row r="3355" spans="7:7" x14ac:dyDescent="0.25">
      <c r="G3355" s="1"/>
    </row>
    <row r="3356" spans="7:7" x14ac:dyDescent="0.25">
      <c r="G3356" s="1"/>
    </row>
    <row r="3357" spans="7:7" x14ac:dyDescent="0.25">
      <c r="G3357" s="1"/>
    </row>
    <row r="3358" spans="7:7" x14ac:dyDescent="0.25">
      <c r="G3358" s="1"/>
    </row>
    <row r="3359" spans="7:7" x14ac:dyDescent="0.25">
      <c r="G3359" s="1"/>
    </row>
    <row r="3360" spans="7:7" x14ac:dyDescent="0.25">
      <c r="G3360" s="1"/>
    </row>
    <row r="3361" spans="7:7" x14ac:dyDescent="0.25">
      <c r="G3361" s="1"/>
    </row>
    <row r="3362" spans="7:7" x14ac:dyDescent="0.25">
      <c r="G3362" s="1"/>
    </row>
    <row r="3363" spans="7:7" x14ac:dyDescent="0.25">
      <c r="G3363" s="1"/>
    </row>
    <row r="3364" spans="7:7" x14ac:dyDescent="0.25">
      <c r="G3364" s="1"/>
    </row>
    <row r="3365" spans="7:7" x14ac:dyDescent="0.25">
      <c r="G3365" s="1"/>
    </row>
    <row r="3366" spans="7:7" x14ac:dyDescent="0.25">
      <c r="G3366" s="1"/>
    </row>
    <row r="3367" spans="7:7" x14ac:dyDescent="0.25">
      <c r="G3367" s="1"/>
    </row>
    <row r="3368" spans="7:7" x14ac:dyDescent="0.25">
      <c r="G3368" s="1"/>
    </row>
    <row r="3369" spans="7:7" x14ac:dyDescent="0.25">
      <c r="G3369" s="1"/>
    </row>
    <row r="3370" spans="7:7" x14ac:dyDescent="0.25">
      <c r="G3370" s="1"/>
    </row>
    <row r="3371" spans="7:7" x14ac:dyDescent="0.25">
      <c r="G3371" s="1"/>
    </row>
    <row r="3372" spans="7:7" x14ac:dyDescent="0.25">
      <c r="G3372" s="1"/>
    </row>
    <row r="3373" spans="7:7" x14ac:dyDescent="0.25">
      <c r="G3373" s="1"/>
    </row>
    <row r="3374" spans="7:7" x14ac:dyDescent="0.25">
      <c r="G3374" s="1"/>
    </row>
    <row r="3375" spans="7:7" x14ac:dyDescent="0.25">
      <c r="G3375" s="1"/>
    </row>
    <row r="3376" spans="7:7" x14ac:dyDescent="0.25">
      <c r="G3376" s="1"/>
    </row>
    <row r="3377" spans="7:7" x14ac:dyDescent="0.25">
      <c r="G3377" s="1"/>
    </row>
    <row r="3378" spans="7:7" x14ac:dyDescent="0.25">
      <c r="G3378" s="1"/>
    </row>
    <row r="3379" spans="7:7" x14ac:dyDescent="0.25">
      <c r="G3379" s="1"/>
    </row>
    <row r="3380" spans="7:7" x14ac:dyDescent="0.25">
      <c r="G3380" s="1"/>
    </row>
    <row r="3381" spans="7:7" x14ac:dyDescent="0.25">
      <c r="G3381" s="1"/>
    </row>
    <row r="3382" spans="7:7" x14ac:dyDescent="0.25">
      <c r="G3382" s="1"/>
    </row>
    <row r="3383" spans="7:7" x14ac:dyDescent="0.25">
      <c r="G3383" s="1"/>
    </row>
    <row r="3384" spans="7:7" x14ac:dyDescent="0.25">
      <c r="G3384" s="1"/>
    </row>
    <row r="3385" spans="7:7" x14ac:dyDescent="0.25">
      <c r="G3385" s="1"/>
    </row>
    <row r="3386" spans="7:7" x14ac:dyDescent="0.25">
      <c r="G3386" s="1"/>
    </row>
    <row r="3387" spans="7:7" x14ac:dyDescent="0.25">
      <c r="G3387" s="1"/>
    </row>
    <row r="3388" spans="7:7" x14ac:dyDescent="0.25">
      <c r="G3388" s="1"/>
    </row>
    <row r="3389" spans="7:7" x14ac:dyDescent="0.25">
      <c r="G3389" s="1"/>
    </row>
    <row r="3390" spans="7:7" x14ac:dyDescent="0.25">
      <c r="G3390" s="1"/>
    </row>
    <row r="3391" spans="7:7" x14ac:dyDescent="0.25">
      <c r="G3391" s="1"/>
    </row>
    <row r="3392" spans="7:7" x14ac:dyDescent="0.25">
      <c r="G3392" s="1"/>
    </row>
    <row r="3393" spans="6:7" x14ac:dyDescent="0.25">
      <c r="G3393" s="1"/>
    </row>
    <row r="3394" spans="6:7" x14ac:dyDescent="0.25">
      <c r="G3394" s="1"/>
    </row>
    <row r="3395" spans="6:7" x14ac:dyDescent="0.25">
      <c r="G3395" s="1"/>
    </row>
    <row r="3396" spans="6:7" x14ac:dyDescent="0.25">
      <c r="G3396" s="1"/>
    </row>
    <row r="3397" spans="6:7" x14ac:dyDescent="0.25">
      <c r="G3397" s="1"/>
    </row>
    <row r="3398" spans="6:7" x14ac:dyDescent="0.25">
      <c r="G3398" s="1"/>
    </row>
    <row r="3399" spans="6:7" x14ac:dyDescent="0.25">
      <c r="G3399" s="1"/>
    </row>
    <row r="3400" spans="6:7" x14ac:dyDescent="0.25">
      <c r="G3400" s="1"/>
    </row>
    <row r="3401" spans="6:7" x14ac:dyDescent="0.25">
      <c r="G3401" s="1"/>
    </row>
    <row r="3402" spans="6:7" x14ac:dyDescent="0.25">
      <c r="F3402" s="12"/>
    </row>
  </sheetData>
  <sortState xmlns:xlrd2="http://schemas.microsoft.com/office/spreadsheetml/2017/richdata2" ref="O13:O17">
    <sortCondition ref="O13"/>
  </sortState>
  <mergeCells count="2">
    <mergeCell ref="B11:C11"/>
    <mergeCell ref="D11:E11"/>
  </mergeCells>
  <phoneticPr fontId="3" type="noConversion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466B0-94D9-4477-BA2E-6B489A2E5AEC}">
  <sheetPr codeName="Sheet2"/>
  <dimension ref="A1:CV231"/>
  <sheetViews>
    <sheetView zoomScale="75" zoomScaleNormal="75" workbookViewId="0">
      <selection sqref="A1:A13"/>
    </sheetView>
  </sheetViews>
  <sheetFormatPr defaultRowHeight="15" x14ac:dyDescent="0.25"/>
  <cols>
    <col min="2" max="2" width="13.28515625" customWidth="1"/>
    <col min="6" max="6" width="11" customWidth="1"/>
    <col min="9" max="9" width="12.28515625" customWidth="1"/>
    <col min="10" max="10" width="11.5703125" customWidth="1"/>
    <col min="11" max="11" width="15.5703125" customWidth="1"/>
    <col min="18" max="19" width="27.28515625" customWidth="1"/>
  </cols>
  <sheetData>
    <row r="1" spans="1:17" ht="15.75" x14ac:dyDescent="0.25">
      <c r="A1" s="10" t="s">
        <v>110</v>
      </c>
      <c r="B1" s="4"/>
      <c r="C1" s="4"/>
      <c r="D1" s="5"/>
      <c r="E1" s="6"/>
      <c r="F1" s="6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5.75" x14ac:dyDescent="0.25">
      <c r="A2" s="3" t="s">
        <v>84</v>
      </c>
      <c r="B2" s="4"/>
      <c r="C2" s="4"/>
      <c r="D2" s="5"/>
      <c r="E2" s="6"/>
      <c r="F2" s="6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15.75" x14ac:dyDescent="0.25">
      <c r="A3" s="19" t="s">
        <v>89</v>
      </c>
      <c r="B3" s="20"/>
      <c r="C3" s="20"/>
      <c r="D3" s="21"/>
      <c r="E3" s="22"/>
      <c r="F3" s="22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17" ht="15.75" x14ac:dyDescent="0.25">
      <c r="A4" s="7" t="s">
        <v>90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</row>
    <row r="5" spans="1:17" ht="15.75" x14ac:dyDescent="0.25">
      <c r="A5" s="7" t="s">
        <v>115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17" ht="15.75" x14ac:dyDescent="0.25">
      <c r="A6" s="7" t="s">
        <v>91</v>
      </c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</row>
    <row r="7" spans="1:17" ht="15.75" x14ac:dyDescent="0.25">
      <c r="A7" s="7" t="s">
        <v>120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</row>
    <row r="8" spans="1:17" ht="15.75" x14ac:dyDescent="0.25">
      <c r="A8" s="7" t="s">
        <v>107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</row>
    <row r="9" spans="1:17" ht="15.75" x14ac:dyDescent="0.25">
      <c r="A9" s="7" t="s">
        <v>121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</row>
    <row r="10" spans="1:17" ht="15.75" x14ac:dyDescent="0.25">
      <c r="A10" s="7" t="s">
        <v>92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</row>
    <row r="11" spans="1:17" ht="15.75" x14ac:dyDescent="0.25">
      <c r="A11" s="7" t="s">
        <v>93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</row>
    <row r="12" spans="1:17" ht="15.75" x14ac:dyDescent="0.25">
      <c r="A12" s="7" t="s">
        <v>123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</row>
    <row r="13" spans="1:17" ht="15.75" x14ac:dyDescent="0.25">
      <c r="A13" s="9" t="s">
        <v>94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</row>
    <row r="16" spans="1:17" x14ac:dyDescent="0.25">
      <c r="A16" s="97" t="s">
        <v>60</v>
      </c>
      <c r="B16" s="98"/>
      <c r="C16" s="27"/>
      <c r="D16" s="27"/>
      <c r="E16" s="27"/>
      <c r="F16" s="27"/>
      <c r="G16" s="27"/>
      <c r="H16" s="49"/>
      <c r="I16" s="27"/>
      <c r="J16" s="103" t="s">
        <v>61</v>
      </c>
      <c r="K16" s="104"/>
      <c r="L16" s="104"/>
      <c r="M16" s="104"/>
      <c r="N16" s="104"/>
      <c r="O16" s="104"/>
      <c r="P16" s="104"/>
      <c r="Q16" s="105"/>
    </row>
    <row r="17" spans="1:100" x14ac:dyDescent="0.25">
      <c r="A17" s="16" t="s">
        <v>62</v>
      </c>
      <c r="B17" s="50">
        <v>120</v>
      </c>
      <c r="C17" s="51" t="s">
        <v>85</v>
      </c>
      <c r="D17" s="51"/>
      <c r="E17" s="27"/>
      <c r="F17" s="27"/>
      <c r="G17" s="27"/>
      <c r="H17" s="49"/>
      <c r="I17" s="27"/>
      <c r="J17" s="52" t="s">
        <v>63</v>
      </c>
      <c r="K17" s="106" t="s">
        <v>64</v>
      </c>
      <c r="L17" s="107"/>
      <c r="M17" s="107"/>
      <c r="N17" s="107"/>
      <c r="O17" s="107"/>
      <c r="P17" s="107"/>
      <c r="Q17" s="108"/>
    </row>
    <row r="18" spans="1:100" x14ac:dyDescent="0.25">
      <c r="A18" s="16" t="s">
        <v>65</v>
      </c>
      <c r="B18" s="54">
        <f>nGuests/6</f>
        <v>20</v>
      </c>
      <c r="C18" s="51" t="s">
        <v>66</v>
      </c>
      <c r="D18" s="51"/>
      <c r="E18" s="27"/>
      <c r="F18" s="27"/>
      <c r="G18" s="27"/>
      <c r="H18" s="49"/>
      <c r="I18" s="27"/>
      <c r="J18" s="55">
        <f>TotalCost</f>
        <v>1296.1199999999999</v>
      </c>
      <c r="K18" s="50">
        <v>50</v>
      </c>
      <c r="L18" s="50">
        <v>60</v>
      </c>
      <c r="M18" s="50">
        <v>70</v>
      </c>
      <c r="N18" s="50">
        <v>80</v>
      </c>
      <c r="O18" s="50">
        <v>90</v>
      </c>
      <c r="P18" s="50">
        <v>100</v>
      </c>
      <c r="Q18" s="50">
        <v>110</v>
      </c>
    </row>
    <row r="19" spans="1:100" x14ac:dyDescent="0.25">
      <c r="A19" s="16" t="s">
        <v>67</v>
      </c>
      <c r="B19" s="56">
        <v>0.65</v>
      </c>
      <c r="C19" s="51" t="s">
        <v>86</v>
      </c>
      <c r="D19" s="51"/>
      <c r="E19" s="27"/>
      <c r="F19" s="27"/>
      <c r="G19" s="27"/>
      <c r="H19" s="49"/>
      <c r="I19" s="27"/>
      <c r="J19" s="57">
        <v>0.2</v>
      </c>
      <c r="K19" s="17">
        <f t="dataTable" ref="K19:Q24" dt2D="1" dtr="1" r1="B17" r2="B18"/>
        <v>418.04999999999995</v>
      </c>
      <c r="L19" s="17">
        <v>501.06</v>
      </c>
      <c r="M19" s="17">
        <v>584.06999999999994</v>
      </c>
      <c r="N19" s="17">
        <v>667.08</v>
      </c>
      <c r="O19" s="17">
        <v>750.08999999999992</v>
      </c>
      <c r="P19" s="17">
        <v>833.09999999999991</v>
      </c>
      <c r="Q19" s="17">
        <v>916.1099999999999</v>
      </c>
    </row>
    <row r="20" spans="1:100" x14ac:dyDescent="0.25">
      <c r="A20" s="16" t="s">
        <v>68</v>
      </c>
      <c r="B20" s="56">
        <f>1-pFish</f>
        <v>0.35</v>
      </c>
      <c r="C20" s="51" t="s">
        <v>69</v>
      </c>
      <c r="D20" s="51"/>
      <c r="E20" s="27"/>
      <c r="F20" s="27"/>
      <c r="G20" s="27"/>
      <c r="H20" s="49"/>
      <c r="I20" s="27"/>
      <c r="J20" s="57">
        <v>0.25</v>
      </c>
      <c r="K20" s="17">
        <v>418.79999999999995</v>
      </c>
      <c r="L20" s="17">
        <v>501.81</v>
      </c>
      <c r="M20" s="17">
        <v>584.81999999999994</v>
      </c>
      <c r="N20" s="17">
        <v>667.83</v>
      </c>
      <c r="O20" s="17">
        <v>750.83999999999992</v>
      </c>
      <c r="P20" s="17">
        <v>833.84999999999991</v>
      </c>
      <c r="Q20" s="17">
        <v>916.8599999999999</v>
      </c>
    </row>
    <row r="21" spans="1:100" x14ac:dyDescent="0.25">
      <c r="A21" s="16" t="s">
        <v>70</v>
      </c>
      <c r="B21" s="17">
        <v>7.86</v>
      </c>
      <c r="C21" s="51" t="s">
        <v>71</v>
      </c>
      <c r="D21" s="51"/>
      <c r="E21" s="27"/>
      <c r="F21" s="27"/>
      <c r="G21" s="27"/>
      <c r="H21" s="49"/>
      <c r="I21" s="27"/>
      <c r="J21" s="57">
        <v>0.3</v>
      </c>
      <c r="K21" s="17">
        <v>419.54999999999995</v>
      </c>
      <c r="L21" s="17">
        <v>502.56</v>
      </c>
      <c r="M21" s="17">
        <v>585.56999999999994</v>
      </c>
      <c r="N21" s="17">
        <v>668.58</v>
      </c>
      <c r="O21" s="17">
        <v>751.58999999999992</v>
      </c>
      <c r="P21" s="17">
        <v>834.59999999999991</v>
      </c>
      <c r="Q21" s="17">
        <v>917.6099999999999</v>
      </c>
    </row>
    <row r="22" spans="1:100" x14ac:dyDescent="0.25">
      <c r="A22" s="16" t="s">
        <v>72</v>
      </c>
      <c r="B22" s="17">
        <v>9.1199999999999992</v>
      </c>
      <c r="C22" s="51" t="s">
        <v>73</v>
      </c>
      <c r="D22" s="51"/>
      <c r="E22" s="27"/>
      <c r="F22" s="27"/>
      <c r="G22" s="27"/>
      <c r="H22" s="49"/>
      <c r="I22" s="27"/>
      <c r="J22" s="57">
        <v>0.35</v>
      </c>
      <c r="K22" s="17">
        <v>420.29999999999995</v>
      </c>
      <c r="L22" s="17">
        <v>503.31</v>
      </c>
      <c r="M22" s="17">
        <v>586.31999999999994</v>
      </c>
      <c r="N22" s="17">
        <v>669.33</v>
      </c>
      <c r="O22" s="17">
        <v>752.33999999999992</v>
      </c>
      <c r="P22" s="17">
        <v>835.34999999999991</v>
      </c>
      <c r="Q22" s="17">
        <v>918.3599999999999</v>
      </c>
    </row>
    <row r="23" spans="1:100" x14ac:dyDescent="0.25">
      <c r="A23" s="16" t="s">
        <v>74</v>
      </c>
      <c r="B23" s="17">
        <v>15</v>
      </c>
      <c r="C23" s="51" t="s">
        <v>75</v>
      </c>
      <c r="D23" s="51"/>
      <c r="E23" s="27"/>
      <c r="F23" s="27"/>
      <c r="G23" s="27"/>
      <c r="H23" s="49"/>
      <c r="I23" s="27"/>
      <c r="J23" s="57">
        <v>0.4</v>
      </c>
      <c r="K23" s="17">
        <v>421.04999999999995</v>
      </c>
      <c r="L23" s="17">
        <v>504.06</v>
      </c>
      <c r="M23" s="17">
        <v>587.06999999999994</v>
      </c>
      <c r="N23" s="17">
        <v>670.08</v>
      </c>
      <c r="O23" s="17">
        <v>753.08999999999992</v>
      </c>
      <c r="P23" s="17">
        <v>836.09999999999991</v>
      </c>
      <c r="Q23" s="17">
        <v>919.1099999999999</v>
      </c>
    </row>
    <row r="24" spans="1:100" x14ac:dyDescent="0.25">
      <c r="A24" s="16" t="s">
        <v>63</v>
      </c>
      <c r="B24" s="58">
        <f>cFish*pFish*nGuests+cSteak*pSteak*nGuests+cTable*nTables</f>
        <v>1296.1199999999999</v>
      </c>
      <c r="C24" s="51" t="s">
        <v>76</v>
      </c>
      <c r="D24" s="51"/>
      <c r="E24" s="27"/>
      <c r="F24" s="27"/>
      <c r="G24" s="27"/>
      <c r="H24" s="49"/>
      <c r="I24" s="27"/>
      <c r="J24" s="57">
        <v>0.45</v>
      </c>
      <c r="K24" s="17">
        <v>421.79999999999995</v>
      </c>
      <c r="L24" s="17">
        <v>504.81</v>
      </c>
      <c r="M24" s="17">
        <v>587.81999999999994</v>
      </c>
      <c r="N24" s="17">
        <v>670.83</v>
      </c>
      <c r="O24" s="17">
        <v>753.83999999999992</v>
      </c>
      <c r="P24" s="17">
        <v>836.84999999999991</v>
      </c>
      <c r="Q24" s="17">
        <v>919.8599999999999</v>
      </c>
    </row>
    <row r="26" spans="1:100" x14ac:dyDescent="0.25">
      <c r="C26" s="13"/>
      <c r="D26" s="13"/>
    </row>
    <row r="27" spans="1:100" x14ac:dyDescent="0.25">
      <c r="C27" s="13"/>
    </row>
    <row r="28" spans="1:100" x14ac:dyDescent="0.25">
      <c r="C28" s="13"/>
      <c r="J28" s="15"/>
      <c r="K28" s="15"/>
      <c r="L28" s="15"/>
      <c r="M28" s="15"/>
      <c r="N28" s="15"/>
      <c r="O28" s="15"/>
    </row>
    <row r="30" spans="1:100" ht="45.75" x14ac:dyDescent="0.3">
      <c r="A30" s="99" t="s">
        <v>77</v>
      </c>
      <c r="B30" s="100"/>
      <c r="C30" s="100"/>
      <c r="D30" s="100"/>
      <c r="E30" s="100"/>
      <c r="F30" s="100"/>
      <c r="G30" s="100"/>
      <c r="H30" s="49"/>
      <c r="I30" s="27"/>
      <c r="J30" s="95" t="s">
        <v>78</v>
      </c>
      <c r="K30" s="63" t="s">
        <v>87</v>
      </c>
      <c r="L30" s="63" t="s">
        <v>88</v>
      </c>
      <c r="O30" s="64" t="s">
        <v>122</v>
      </c>
      <c r="P30" s="8"/>
      <c r="Q30" s="8"/>
      <c r="R30" s="11"/>
      <c r="S30" s="11"/>
      <c r="T30" s="96"/>
      <c r="AD30" s="96"/>
      <c r="AN30" s="96"/>
      <c r="AX30" s="96"/>
      <c r="BH30" s="96"/>
      <c r="BR30" s="96"/>
      <c r="CB30" s="96"/>
      <c r="CL30" s="96"/>
      <c r="CV30" s="96"/>
    </row>
    <row r="31" spans="1:100" x14ac:dyDescent="0.25">
      <c r="A31" s="15" t="s">
        <v>79</v>
      </c>
      <c r="B31" s="15" t="s">
        <v>62</v>
      </c>
      <c r="C31" s="15" t="s">
        <v>65</v>
      </c>
      <c r="D31" s="15" t="s">
        <v>67</v>
      </c>
      <c r="E31" s="15" t="s">
        <v>68</v>
      </c>
      <c r="F31" s="15" t="s">
        <v>80</v>
      </c>
      <c r="G31" s="15" t="s">
        <v>81</v>
      </c>
      <c r="H31" s="27"/>
      <c r="I31" s="49"/>
      <c r="J31" s="53" t="s">
        <v>81</v>
      </c>
      <c r="K31" s="60">
        <v>12.082128667831421</v>
      </c>
      <c r="L31" s="60">
        <v>14.027300620079041</v>
      </c>
      <c r="O31" s="65" t="s">
        <v>95</v>
      </c>
      <c r="P31" s="8"/>
      <c r="Q31" s="8"/>
      <c r="R31" s="11"/>
      <c r="S31" s="11"/>
    </row>
    <row r="32" spans="1:100" x14ac:dyDescent="0.25">
      <c r="A32" s="59">
        <v>1</v>
      </c>
      <c r="B32" s="50">
        <v>169</v>
      </c>
      <c r="C32" s="50">
        <v>28</v>
      </c>
      <c r="D32" s="56">
        <v>0.49521130323410034</v>
      </c>
      <c r="E32" s="56">
        <v>0.50478869676589966</v>
      </c>
      <c r="F32" s="58">
        <v>1857.309289753437</v>
      </c>
      <c r="G32" s="58">
        <v>13.187994956829138</v>
      </c>
      <c r="H32" s="27"/>
      <c r="I32" s="49"/>
      <c r="J32" s="53" t="s">
        <v>63</v>
      </c>
      <c r="K32" s="61">
        <v>151.0266</v>
      </c>
      <c r="L32" s="61">
        <v>187.0307</v>
      </c>
      <c r="O32" s="8" t="s">
        <v>96</v>
      </c>
      <c r="P32" s="8"/>
      <c r="Q32" s="8"/>
      <c r="R32" s="11"/>
      <c r="S32" s="11"/>
    </row>
    <row r="33" spans="1:19" x14ac:dyDescent="0.25">
      <c r="A33" s="59">
        <v>2</v>
      </c>
      <c r="B33" s="50">
        <v>62</v>
      </c>
      <c r="C33" s="50">
        <v>10</v>
      </c>
      <c r="D33" s="56">
        <v>0.41296780109405518</v>
      </c>
      <c r="E33" s="56">
        <v>0.58703219890594482</v>
      </c>
      <c r="F33" s="58">
        <v>682.39599633216858</v>
      </c>
      <c r="G33" s="58">
        <v>13.207664445138747</v>
      </c>
      <c r="H33" s="27"/>
      <c r="I33" s="49"/>
      <c r="J33" s="53" t="s">
        <v>62</v>
      </c>
      <c r="K33" s="62">
        <v>15</v>
      </c>
      <c r="L33" s="62">
        <v>16</v>
      </c>
      <c r="O33" s="8" t="s">
        <v>97</v>
      </c>
      <c r="P33" s="8"/>
      <c r="Q33" s="8"/>
      <c r="R33" s="11"/>
      <c r="S33" s="11"/>
    </row>
    <row r="34" spans="1:19" x14ac:dyDescent="0.25">
      <c r="A34" s="59">
        <v>3</v>
      </c>
      <c r="B34" s="50">
        <v>197</v>
      </c>
      <c r="C34" s="50">
        <v>33</v>
      </c>
      <c r="D34" s="56">
        <v>0.69528180360794067</v>
      </c>
      <c r="E34" s="56">
        <v>0.30471819639205933</v>
      </c>
      <c r="F34" s="58">
        <v>2131.0294846892357</v>
      </c>
      <c r="G34" s="58">
        <v>12.98089026206641</v>
      </c>
      <c r="H34" s="27"/>
      <c r="I34" s="49"/>
      <c r="J34" s="27"/>
      <c r="K34" s="27"/>
      <c r="L34" s="27"/>
      <c r="O34" s="8" t="s">
        <v>98</v>
      </c>
      <c r="P34" s="8"/>
      <c r="Q34" s="8"/>
      <c r="R34" s="11"/>
      <c r="S34" s="11"/>
    </row>
    <row r="35" spans="1:19" x14ac:dyDescent="0.25">
      <c r="A35" s="59">
        <v>4</v>
      </c>
      <c r="B35" s="50">
        <v>39</v>
      </c>
      <c r="C35" s="50">
        <v>6</v>
      </c>
      <c r="D35" s="56">
        <v>0.17908930778503418</v>
      </c>
      <c r="E35" s="56">
        <v>0.82091069221496582</v>
      </c>
      <c r="F35" s="58">
        <v>434.01551699638367</v>
      </c>
      <c r="G35" s="58">
        <v>13.354323599888728</v>
      </c>
      <c r="H35" s="27"/>
      <c r="I35" s="49"/>
      <c r="J35" s="27"/>
      <c r="K35" s="27"/>
      <c r="L35" s="27"/>
      <c r="O35" s="8" t="s">
        <v>108</v>
      </c>
      <c r="P35" s="8"/>
      <c r="Q35" s="8"/>
      <c r="R35" s="11"/>
      <c r="S35" s="11"/>
    </row>
    <row r="36" spans="1:19" ht="15.75" thickBot="1" x14ac:dyDescent="0.3">
      <c r="A36" s="59">
        <v>5</v>
      </c>
      <c r="B36" s="50">
        <v>180</v>
      </c>
      <c r="C36" s="50">
        <v>30</v>
      </c>
      <c r="D36" s="56">
        <v>0.42291826009750366</v>
      </c>
      <c r="E36" s="56">
        <v>0.57708173990249634</v>
      </c>
      <c r="F36" s="58">
        <v>1993.8747131824493</v>
      </c>
      <c r="G36" s="58">
        <v>13.292498087882995</v>
      </c>
      <c r="H36" s="27"/>
      <c r="I36" s="49"/>
      <c r="J36" s="101" t="s">
        <v>82</v>
      </c>
      <c r="K36" s="102"/>
      <c r="L36" s="102"/>
      <c r="O36" s="65" t="s">
        <v>99</v>
      </c>
      <c r="P36" s="8"/>
      <c r="Q36" s="8"/>
      <c r="R36" s="11"/>
      <c r="S36" s="11"/>
    </row>
    <row r="37" spans="1:19" x14ac:dyDescent="0.25">
      <c r="A37" s="59">
        <v>6</v>
      </c>
      <c r="B37" s="50">
        <v>104</v>
      </c>
      <c r="C37" s="50">
        <v>17</v>
      </c>
      <c r="D37" s="56">
        <v>0.54317700862884521</v>
      </c>
      <c r="E37" s="56">
        <v>0.45682299137115479</v>
      </c>
      <c r="F37" s="58">
        <v>1134.5095911026001</v>
      </c>
      <c r="G37" s="58">
        <v>13.090495281953078</v>
      </c>
      <c r="H37" s="27"/>
      <c r="I37" s="49"/>
      <c r="J37" s="35" t="s">
        <v>83</v>
      </c>
      <c r="K37" s="28" t="s">
        <v>83</v>
      </c>
      <c r="L37" s="28" t="s">
        <v>263</v>
      </c>
      <c r="O37" s="8" t="s">
        <v>116</v>
      </c>
      <c r="P37" s="8"/>
      <c r="Q37" s="8"/>
      <c r="R37" s="11"/>
      <c r="S37" s="11"/>
    </row>
    <row r="38" spans="1:19" x14ac:dyDescent="0.25">
      <c r="A38" s="59">
        <v>7</v>
      </c>
      <c r="B38" s="50">
        <v>147</v>
      </c>
      <c r="C38" s="50">
        <v>24</v>
      </c>
      <c r="D38" s="56">
        <v>0.81466394662857056</v>
      </c>
      <c r="E38" s="56">
        <v>0.18533605337142944</v>
      </c>
      <c r="F38" s="58">
        <v>1563.2443998456001</v>
      </c>
      <c r="G38" s="58">
        <v>12.761178774249798</v>
      </c>
      <c r="H38" s="30"/>
      <c r="I38" s="49"/>
      <c r="J38" s="30">
        <v>12</v>
      </c>
      <c r="K38">
        <v>12</v>
      </c>
      <c r="L38">
        <v>0</v>
      </c>
      <c r="O38" s="65" t="s">
        <v>117</v>
      </c>
      <c r="P38" s="8"/>
      <c r="Q38" s="8"/>
      <c r="R38" s="11"/>
      <c r="S38" s="11"/>
    </row>
    <row r="39" spans="1:19" x14ac:dyDescent="0.25">
      <c r="A39" s="59">
        <v>8</v>
      </c>
      <c r="B39" s="50">
        <v>118</v>
      </c>
      <c r="C39" s="50">
        <v>20</v>
      </c>
      <c r="D39" s="56">
        <v>0.54091358184814453</v>
      </c>
      <c r="E39" s="56">
        <v>0.45908641815185547</v>
      </c>
      <c r="F39" s="58">
        <v>1298.1721973419189</v>
      </c>
      <c r="G39" s="58">
        <v>13.201751159409346</v>
      </c>
      <c r="H39" s="27"/>
      <c r="I39" s="27"/>
      <c r="J39" s="30">
        <v>12.25</v>
      </c>
      <c r="K39">
        <v>12.25</v>
      </c>
      <c r="L39">
        <v>1</v>
      </c>
      <c r="O39" s="8" t="s">
        <v>118</v>
      </c>
      <c r="P39" s="8"/>
      <c r="Q39" s="8"/>
      <c r="R39" s="11"/>
      <c r="S39" s="11"/>
    </row>
    <row r="40" spans="1:19" x14ac:dyDescent="0.25">
      <c r="A40" s="59">
        <v>9</v>
      </c>
      <c r="B40" s="50">
        <v>70</v>
      </c>
      <c r="C40" s="50">
        <v>12</v>
      </c>
      <c r="D40" s="56">
        <v>0.42753332853317261</v>
      </c>
      <c r="E40" s="56">
        <v>0.57246667146682739</v>
      </c>
      <c r="F40" s="58">
        <v>780.07266700267792</v>
      </c>
      <c r="G40" s="58">
        <v>13.372674291474478</v>
      </c>
      <c r="H40" s="27"/>
      <c r="I40" s="27"/>
      <c r="J40" s="30">
        <v>12.5</v>
      </c>
      <c r="K40">
        <v>12.5</v>
      </c>
      <c r="L40">
        <v>1</v>
      </c>
      <c r="O40" s="65" t="s">
        <v>100</v>
      </c>
      <c r="P40" s="8"/>
      <c r="Q40" s="8"/>
      <c r="R40" s="11"/>
      <c r="S40" s="11"/>
    </row>
    <row r="41" spans="1:19" x14ac:dyDescent="0.25">
      <c r="A41" s="59">
        <v>10</v>
      </c>
      <c r="B41" s="50">
        <v>232</v>
      </c>
      <c r="C41" s="50">
        <v>39</v>
      </c>
      <c r="D41" s="56">
        <v>0.50906813144683838</v>
      </c>
      <c r="E41" s="56">
        <v>0.49093186855316162</v>
      </c>
      <c r="F41" s="58">
        <v>2554.8961935043335</v>
      </c>
      <c r="G41" s="58">
        <v>13.214980311229311</v>
      </c>
      <c r="H41" s="27"/>
      <c r="I41" s="27"/>
      <c r="J41" s="30">
        <v>12.75</v>
      </c>
      <c r="K41">
        <v>12.75</v>
      </c>
      <c r="L41">
        <v>21</v>
      </c>
      <c r="O41" s="8" t="s">
        <v>101</v>
      </c>
      <c r="P41" s="8"/>
      <c r="Q41" s="8"/>
      <c r="R41" s="11"/>
      <c r="S41" s="11"/>
    </row>
    <row r="42" spans="1:19" x14ac:dyDescent="0.25">
      <c r="A42" s="59">
        <v>11</v>
      </c>
      <c r="B42" s="50">
        <v>162</v>
      </c>
      <c r="C42" s="50">
        <v>27</v>
      </c>
      <c r="D42" s="56">
        <v>0.22778159379959106</v>
      </c>
      <c r="E42" s="56">
        <v>0.77221840620040894</v>
      </c>
      <c r="F42" s="58">
        <v>1826.0993818044662</v>
      </c>
      <c r="G42" s="58">
        <v>13.52666208744049</v>
      </c>
      <c r="H42" s="27"/>
      <c r="I42" s="27"/>
      <c r="J42" s="30">
        <v>13</v>
      </c>
      <c r="K42">
        <v>13</v>
      </c>
      <c r="L42">
        <v>44</v>
      </c>
      <c r="O42" s="8" t="s">
        <v>102</v>
      </c>
      <c r="P42" s="8"/>
      <c r="Q42" s="8"/>
      <c r="R42" s="11"/>
      <c r="S42" s="11"/>
    </row>
    <row r="43" spans="1:19" x14ac:dyDescent="0.25">
      <c r="A43" s="59">
        <v>12</v>
      </c>
      <c r="B43" s="50">
        <v>47</v>
      </c>
      <c r="C43" s="50">
        <v>8</v>
      </c>
      <c r="D43" s="56">
        <v>0.61918759346008301</v>
      </c>
      <c r="E43" s="56">
        <v>0.38081240653991699</v>
      </c>
      <c r="F43" s="58">
        <v>513.8981831073761</v>
      </c>
      <c r="G43" s="58">
        <v>13.120804675081944</v>
      </c>
      <c r="H43" s="27"/>
      <c r="I43" s="27"/>
      <c r="J43" s="30">
        <v>13.25</v>
      </c>
      <c r="K43">
        <v>13.25</v>
      </c>
      <c r="L43">
        <v>35</v>
      </c>
      <c r="O43" s="8" t="s">
        <v>103</v>
      </c>
      <c r="P43" s="8"/>
      <c r="Q43" s="8"/>
      <c r="R43" s="11"/>
      <c r="S43" s="11"/>
    </row>
    <row r="44" spans="1:19" x14ac:dyDescent="0.25">
      <c r="A44" s="59">
        <v>13</v>
      </c>
      <c r="B44" s="50">
        <v>157</v>
      </c>
      <c r="C44" s="50">
        <v>26</v>
      </c>
      <c r="D44" s="56">
        <v>0.48983043432235718</v>
      </c>
      <c r="E44" s="56">
        <v>0.51016956567764282</v>
      </c>
      <c r="F44" s="58">
        <v>1726.0966218113899</v>
      </c>
      <c r="G44" s="58">
        <v>13.193095198558394</v>
      </c>
      <c r="H44" s="27"/>
      <c r="I44" s="27"/>
      <c r="J44" s="30">
        <v>13.5</v>
      </c>
      <c r="K44">
        <v>13.5</v>
      </c>
      <c r="L44">
        <v>54</v>
      </c>
      <c r="O44" s="65" t="s">
        <v>104</v>
      </c>
      <c r="P44" s="8"/>
      <c r="Q44" s="8"/>
      <c r="R44" s="11"/>
      <c r="S44" s="11"/>
    </row>
    <row r="45" spans="1:19" x14ac:dyDescent="0.25">
      <c r="A45" s="59">
        <v>14</v>
      </c>
      <c r="B45" s="50">
        <v>155</v>
      </c>
      <c r="C45" s="50">
        <v>26</v>
      </c>
      <c r="D45" s="56">
        <v>0.68081939220428467</v>
      </c>
      <c r="E45" s="56">
        <v>0.31918060779571533</v>
      </c>
      <c r="F45" s="58">
        <v>1679.4729942083359</v>
      </c>
      <c r="G45" s="58">
        <v>13.002371568064536</v>
      </c>
      <c r="H45" s="27"/>
      <c r="I45" s="27"/>
      <c r="J45" s="30">
        <v>13.75</v>
      </c>
      <c r="K45">
        <v>13.75</v>
      </c>
      <c r="L45">
        <v>35</v>
      </c>
      <c r="O45" s="8" t="s">
        <v>105</v>
      </c>
      <c r="P45" s="8"/>
      <c r="Q45" s="8"/>
      <c r="R45" s="11"/>
      <c r="S45" s="11"/>
    </row>
    <row r="46" spans="1:19" x14ac:dyDescent="0.25">
      <c r="A46" s="59">
        <v>15</v>
      </c>
      <c r="B46" s="50">
        <v>13</v>
      </c>
      <c r="C46" s="50">
        <v>2</v>
      </c>
      <c r="D46" s="56">
        <v>0.8866000771522522</v>
      </c>
      <c r="E46" s="56">
        <v>0.1133999228477478</v>
      </c>
      <c r="F46" s="58">
        <v>135.47419899702072</v>
      </c>
      <c r="G46" s="58">
        <v>12.505310676648067</v>
      </c>
      <c r="H46" s="27"/>
      <c r="I46" s="27"/>
      <c r="J46" s="30">
        <v>14</v>
      </c>
      <c r="K46">
        <v>14</v>
      </c>
      <c r="L46">
        <v>8</v>
      </c>
      <c r="O46" s="8" t="s">
        <v>106</v>
      </c>
      <c r="P46" s="8"/>
      <c r="Q46" s="8"/>
      <c r="R46" s="11"/>
      <c r="S46" s="11"/>
    </row>
    <row r="47" spans="1:19" x14ac:dyDescent="0.25">
      <c r="A47" s="59">
        <v>16</v>
      </c>
      <c r="B47" s="50">
        <v>18</v>
      </c>
      <c r="C47" s="50">
        <v>3</v>
      </c>
      <c r="D47" s="56">
        <v>0.37051534652709961</v>
      </c>
      <c r="E47" s="56">
        <v>0.62948465347290039</v>
      </c>
      <c r="F47" s="58">
        <v>200.33072376251221</v>
      </c>
      <c r="G47" s="58">
        <v>13.35538158416748</v>
      </c>
      <c r="H47" s="27"/>
      <c r="I47" s="27"/>
      <c r="J47" s="30">
        <v>14.25</v>
      </c>
      <c r="K47">
        <v>14.25</v>
      </c>
      <c r="L47">
        <v>1</v>
      </c>
      <c r="O47" s="8" t="s">
        <v>119</v>
      </c>
      <c r="P47" s="8"/>
      <c r="Q47" s="8"/>
      <c r="R47" s="11"/>
      <c r="S47" s="11"/>
    </row>
    <row r="48" spans="1:19" x14ac:dyDescent="0.25">
      <c r="A48" s="59">
        <v>17</v>
      </c>
      <c r="B48" s="50">
        <v>99</v>
      </c>
      <c r="C48" s="50">
        <v>16</v>
      </c>
      <c r="D48" s="56">
        <v>0.30249756574630737</v>
      </c>
      <c r="E48" s="56">
        <v>0.69750243425369263</v>
      </c>
      <c r="F48" s="58">
        <v>1101.0527409911156</v>
      </c>
      <c r="G48" s="58">
        <v>13.34609383019534</v>
      </c>
      <c r="H48" s="27"/>
      <c r="I48" s="27"/>
      <c r="J48" s="30">
        <v>14.5</v>
      </c>
      <c r="K48">
        <v>14.5</v>
      </c>
      <c r="L48">
        <v>0</v>
      </c>
    </row>
    <row r="49" spans="1:12" x14ac:dyDescent="0.25">
      <c r="A49" s="59">
        <v>18</v>
      </c>
      <c r="B49" s="50">
        <v>150</v>
      </c>
      <c r="C49" s="50">
        <v>25</v>
      </c>
      <c r="D49" s="56">
        <v>0.29286682605743408</v>
      </c>
      <c r="E49" s="56">
        <v>0.70713317394256592</v>
      </c>
      <c r="F49" s="58">
        <v>1681.0699760913849</v>
      </c>
      <c r="G49" s="58">
        <v>13.44855980873108</v>
      </c>
      <c r="H49" s="27"/>
      <c r="I49" s="27"/>
      <c r="J49" s="30">
        <v>14.75</v>
      </c>
      <c r="K49">
        <v>14.75</v>
      </c>
      <c r="L49">
        <v>0</v>
      </c>
    </row>
    <row r="50" spans="1:12" x14ac:dyDescent="0.25">
      <c r="A50" s="59">
        <v>19</v>
      </c>
      <c r="B50" s="50">
        <v>241</v>
      </c>
      <c r="C50" s="50">
        <v>40</v>
      </c>
      <c r="D50" s="56">
        <v>0.15031129121780396</v>
      </c>
      <c r="E50" s="56">
        <v>0.84968870878219604</v>
      </c>
      <c r="F50" s="58">
        <v>2732.7749788165092</v>
      </c>
      <c r="G50" s="58">
        <v>13.607178317758553</v>
      </c>
      <c r="H50" s="27"/>
      <c r="I50" s="27"/>
      <c r="J50" s="30">
        <v>15</v>
      </c>
      <c r="K50">
        <v>15</v>
      </c>
      <c r="L50">
        <v>0</v>
      </c>
    </row>
    <row r="51" spans="1:12" x14ac:dyDescent="0.25">
      <c r="A51" s="59">
        <v>20</v>
      </c>
      <c r="B51" s="50">
        <v>212</v>
      </c>
      <c r="C51" s="50">
        <v>35</v>
      </c>
      <c r="D51" s="56">
        <v>0.52982115745544434</v>
      </c>
      <c r="E51" s="56">
        <v>0.47017884254455566</v>
      </c>
      <c r="F51" s="58">
        <v>2320.6779146194458</v>
      </c>
      <c r="G51" s="58">
        <v>13.135912724261015</v>
      </c>
      <c r="H51" s="27"/>
      <c r="I51" s="27"/>
      <c r="J51" s="30">
        <v>15.25</v>
      </c>
      <c r="K51">
        <v>15.25</v>
      </c>
      <c r="L51">
        <v>0</v>
      </c>
    </row>
    <row r="52" spans="1:12" x14ac:dyDescent="0.25">
      <c r="A52" s="59">
        <v>21</v>
      </c>
      <c r="B52" s="50">
        <v>171</v>
      </c>
      <c r="C52" s="50">
        <v>28</v>
      </c>
      <c r="D52" s="56">
        <v>0.22326177358627319</v>
      </c>
      <c r="E52" s="56">
        <v>0.77673822641372681</v>
      </c>
      <c r="F52" s="58">
        <v>1920.8222367167473</v>
      </c>
      <c r="G52" s="58">
        <v>13.479454292749104</v>
      </c>
      <c r="H52" s="27"/>
      <c r="I52" s="27"/>
      <c r="J52" s="30">
        <v>15.5</v>
      </c>
      <c r="K52">
        <v>15.5</v>
      </c>
      <c r="L52">
        <v>0</v>
      </c>
    </row>
    <row r="53" spans="1:12" x14ac:dyDescent="0.25">
      <c r="A53" s="59">
        <v>22</v>
      </c>
      <c r="B53" s="50">
        <v>248</v>
      </c>
      <c r="C53" s="50">
        <v>41</v>
      </c>
      <c r="D53" s="56">
        <v>0.58452928066253662</v>
      </c>
      <c r="E53" s="56">
        <v>0.41547071933746338</v>
      </c>
      <c r="F53" s="58">
        <v>2702.0367383956909</v>
      </c>
      <c r="G53" s="58">
        <v>13.07437131481786</v>
      </c>
      <c r="H53" s="27"/>
      <c r="I53" s="27"/>
      <c r="J53" s="30">
        <v>15.75</v>
      </c>
      <c r="K53">
        <v>15.75</v>
      </c>
      <c r="L53">
        <v>0</v>
      </c>
    </row>
    <row r="54" spans="1:12" x14ac:dyDescent="0.25">
      <c r="A54" s="59">
        <v>23</v>
      </c>
      <c r="B54" s="50">
        <v>118</v>
      </c>
      <c r="C54" s="50">
        <v>20</v>
      </c>
      <c r="D54" s="56">
        <v>0.36345869302749634</v>
      </c>
      <c r="E54" s="56">
        <v>0.63654130697250366</v>
      </c>
      <c r="F54" s="58">
        <v>1319.1118742227554</v>
      </c>
      <c r="G54" s="58">
        <v>13.414697025994123</v>
      </c>
      <c r="H54" s="27"/>
      <c r="I54" s="27"/>
      <c r="J54" s="30">
        <v>16</v>
      </c>
      <c r="K54">
        <v>16</v>
      </c>
      <c r="L54">
        <v>0</v>
      </c>
    </row>
    <row r="55" spans="1:12" x14ac:dyDescent="0.25">
      <c r="A55" s="59">
        <v>24</v>
      </c>
      <c r="B55" s="50">
        <v>18</v>
      </c>
      <c r="C55" s="50">
        <v>3</v>
      </c>
      <c r="D55" s="56">
        <v>0.87597465515136719</v>
      </c>
      <c r="E55" s="56">
        <v>0.12402534484863281</v>
      </c>
      <c r="F55" s="58">
        <v>191.23245620727539</v>
      </c>
      <c r="G55" s="58">
        <v>12.748830413818359</v>
      </c>
      <c r="H55" s="27"/>
      <c r="I55" s="27"/>
      <c r="J55" s="30">
        <v>16.25</v>
      </c>
      <c r="K55">
        <v>16.25</v>
      </c>
      <c r="L55">
        <v>0</v>
      </c>
    </row>
    <row r="56" spans="1:12" x14ac:dyDescent="0.25">
      <c r="A56" s="59">
        <v>25</v>
      </c>
      <c r="B56" s="50">
        <v>45</v>
      </c>
      <c r="C56" s="50">
        <v>8</v>
      </c>
      <c r="D56" s="56">
        <v>0.47801417112350464</v>
      </c>
      <c r="E56" s="56">
        <v>0.52198582887649536</v>
      </c>
      <c r="F56" s="58">
        <v>503.48936229944229</v>
      </c>
      <c r="G56" s="58">
        <v>13.426382994651794</v>
      </c>
      <c r="H56" s="27"/>
      <c r="I56" s="27"/>
      <c r="J56" s="30">
        <v>16.5</v>
      </c>
      <c r="K56">
        <v>16.5</v>
      </c>
      <c r="L56">
        <v>0</v>
      </c>
    </row>
    <row r="57" spans="1:12" x14ac:dyDescent="0.25">
      <c r="A57" s="59">
        <v>26</v>
      </c>
      <c r="B57" s="50">
        <v>155</v>
      </c>
      <c r="C57" s="50">
        <v>26</v>
      </c>
      <c r="D57" s="56">
        <v>0.19063341617584229</v>
      </c>
      <c r="E57" s="56">
        <v>0.80936658382415771</v>
      </c>
      <c r="F57" s="58">
        <v>1755.4518204927444</v>
      </c>
      <c r="G57" s="58">
        <v>13.590594739298666</v>
      </c>
      <c r="H57" s="27"/>
      <c r="I57" s="27"/>
      <c r="J57" s="30">
        <v>16.75</v>
      </c>
      <c r="K57">
        <v>16.75</v>
      </c>
      <c r="L57">
        <v>0</v>
      </c>
    </row>
    <row r="58" spans="1:12" x14ac:dyDescent="0.25">
      <c r="A58" s="59">
        <v>27</v>
      </c>
      <c r="B58" s="50">
        <v>112</v>
      </c>
      <c r="C58" s="50">
        <v>19</v>
      </c>
      <c r="D58" s="56">
        <v>0.68406230211257935</v>
      </c>
      <c r="E58" s="56">
        <v>0.31593769788742065</v>
      </c>
      <c r="F58" s="58">
        <v>1216.3850221633911</v>
      </c>
      <c r="G58" s="58">
        <v>13.032696666036333</v>
      </c>
      <c r="H58" s="27"/>
      <c r="I58" s="27"/>
      <c r="J58" s="30">
        <v>17</v>
      </c>
      <c r="K58">
        <v>17</v>
      </c>
      <c r="L58">
        <v>0</v>
      </c>
    </row>
    <row r="59" spans="1:12" ht="15.75" thickBot="1" x14ac:dyDescent="0.3">
      <c r="A59" s="59">
        <v>28</v>
      </c>
      <c r="B59" s="50">
        <v>223</v>
      </c>
      <c r="C59" s="50">
        <v>37</v>
      </c>
      <c r="D59" s="56">
        <v>0.74741578102111816</v>
      </c>
      <c r="E59" s="56">
        <v>0.25258421897888184</v>
      </c>
      <c r="F59" s="58">
        <v>2395.3262808322906</v>
      </c>
      <c r="G59" s="58">
        <v>12.889648147976452</v>
      </c>
      <c r="H59" s="27"/>
      <c r="I59" s="27"/>
      <c r="J59" s="27"/>
      <c r="K59" s="32" t="s">
        <v>262</v>
      </c>
      <c r="L59" s="32">
        <v>0</v>
      </c>
    </row>
    <row r="60" spans="1:12" x14ac:dyDescent="0.25">
      <c r="A60" s="59">
        <v>29</v>
      </c>
      <c r="B60" s="50">
        <v>17</v>
      </c>
      <c r="C60" s="50">
        <v>3</v>
      </c>
      <c r="D60" s="56">
        <v>0.61393493413925171</v>
      </c>
      <c r="E60" s="56">
        <v>0.38606506586074829</v>
      </c>
      <c r="F60" s="58">
        <v>187.56310611963272</v>
      </c>
      <c r="G60" s="58">
        <v>13.239748667268191</v>
      </c>
      <c r="H60" s="27"/>
      <c r="I60" s="27"/>
      <c r="J60" s="27"/>
      <c r="K60" s="27"/>
      <c r="L60" s="27"/>
    </row>
    <row r="61" spans="1:12" x14ac:dyDescent="0.25">
      <c r="A61" s="59">
        <v>30</v>
      </c>
      <c r="B61" s="50">
        <v>175</v>
      </c>
      <c r="C61" s="50">
        <v>29</v>
      </c>
      <c r="D61" s="56">
        <v>0.78213870525360107</v>
      </c>
      <c r="E61" s="56">
        <v>0.21786129474639893</v>
      </c>
      <c r="F61" s="58">
        <v>1873.1257265806198</v>
      </c>
      <c r="G61" s="58">
        <v>12.844290696552822</v>
      </c>
      <c r="H61" s="27"/>
      <c r="I61" s="27"/>
      <c r="J61" s="27"/>
      <c r="K61" s="27"/>
      <c r="L61" s="27"/>
    </row>
    <row r="62" spans="1:12" x14ac:dyDescent="0.25">
      <c r="A62" s="59">
        <v>31</v>
      </c>
      <c r="B62" s="50">
        <v>17</v>
      </c>
      <c r="C62" s="50">
        <v>3</v>
      </c>
      <c r="D62" s="56">
        <v>0.16174370050430298</v>
      </c>
      <c r="E62" s="56">
        <v>0.83825629949569702</v>
      </c>
      <c r="F62" s="58">
        <v>195.25035709142685</v>
      </c>
      <c r="G62" s="58">
        <v>13.78237814763013</v>
      </c>
      <c r="H62" s="27"/>
      <c r="I62" s="27"/>
      <c r="J62" s="27"/>
      <c r="K62" s="27"/>
      <c r="L62" s="27"/>
    </row>
    <row r="63" spans="1:12" x14ac:dyDescent="0.25">
      <c r="A63" s="59">
        <v>32</v>
      </c>
      <c r="B63" s="50">
        <v>53</v>
      </c>
      <c r="C63" s="50">
        <v>9</v>
      </c>
      <c r="D63" s="56">
        <v>0.80777978897094727</v>
      </c>
      <c r="E63" s="56">
        <v>0.19222021102905273</v>
      </c>
      <c r="F63" s="58">
        <v>569.18767118453979</v>
      </c>
      <c r="G63" s="58">
        <v>12.887268026819768</v>
      </c>
      <c r="H63" s="27"/>
      <c r="I63" s="27"/>
      <c r="J63" s="27"/>
      <c r="K63" s="27"/>
      <c r="L63" s="27"/>
    </row>
    <row r="64" spans="1:12" x14ac:dyDescent="0.25">
      <c r="A64" s="59">
        <v>33</v>
      </c>
      <c r="B64" s="50">
        <v>232</v>
      </c>
      <c r="C64" s="50">
        <v>39</v>
      </c>
      <c r="D64" s="56">
        <v>0.2026183009147644</v>
      </c>
      <c r="E64" s="56">
        <v>0.7973816990852356</v>
      </c>
      <c r="F64" s="58">
        <v>2625.9925541877747</v>
      </c>
      <c r="G64" s="58">
        <v>13.5827201078678</v>
      </c>
      <c r="H64" s="27"/>
      <c r="I64" s="27"/>
      <c r="J64" s="27"/>
      <c r="K64" s="27"/>
      <c r="L64" s="27"/>
    </row>
    <row r="65" spans="1:12" x14ac:dyDescent="0.25">
      <c r="A65" s="59">
        <v>34</v>
      </c>
      <c r="B65" s="50">
        <v>48</v>
      </c>
      <c r="C65" s="50">
        <v>8</v>
      </c>
      <c r="D65" s="56">
        <v>0.95676243305206299</v>
      </c>
      <c r="E65" s="56">
        <v>4.3237566947937012E-2</v>
      </c>
      <c r="F65" s="58">
        <v>506.07540321350098</v>
      </c>
      <c r="G65" s="58">
        <v>12.651885080337525</v>
      </c>
      <c r="H65" s="27"/>
      <c r="I65" s="27"/>
      <c r="J65" s="27"/>
      <c r="K65" s="27"/>
      <c r="L65" s="27"/>
    </row>
    <row r="66" spans="1:12" x14ac:dyDescent="0.25">
      <c r="A66" s="59">
        <v>35</v>
      </c>
      <c r="B66" s="50">
        <v>95</v>
      </c>
      <c r="C66" s="50">
        <v>16</v>
      </c>
      <c r="D66" s="56">
        <v>6.5851032733917236E-2</v>
      </c>
      <c r="E66" s="56">
        <v>0.93414896726608276</v>
      </c>
      <c r="F66" s="58">
        <v>1088.7441518902779</v>
      </c>
      <c r="G66" s="58">
        <v>13.752557708087721</v>
      </c>
      <c r="H66" s="27"/>
      <c r="I66" s="27"/>
      <c r="J66" s="27"/>
      <c r="K66" s="27"/>
      <c r="L66" s="27"/>
    </row>
    <row r="67" spans="1:12" x14ac:dyDescent="0.25">
      <c r="A67" s="59">
        <v>36</v>
      </c>
      <c r="B67" s="50">
        <v>206</v>
      </c>
      <c r="C67" s="50">
        <v>34</v>
      </c>
      <c r="D67" s="56">
        <v>6.1522245407104492E-2</v>
      </c>
      <c r="E67" s="56">
        <v>0.93847775459289551</v>
      </c>
      <c r="F67" s="58">
        <v>2351.3264174461365</v>
      </c>
      <c r="G67" s="58">
        <v>13.697047091919242</v>
      </c>
      <c r="H67" s="27"/>
      <c r="I67" s="27"/>
      <c r="J67" s="27"/>
      <c r="K67" s="27"/>
      <c r="L67" s="27"/>
    </row>
    <row r="68" spans="1:12" x14ac:dyDescent="0.25">
      <c r="A68" s="59">
        <v>37</v>
      </c>
      <c r="B68" s="50">
        <v>245</v>
      </c>
      <c r="C68" s="50">
        <v>41</v>
      </c>
      <c r="D68" s="56">
        <v>0.79319757223129272</v>
      </c>
      <c r="E68" s="56">
        <v>0.20680242776870728</v>
      </c>
      <c r="F68" s="58">
        <v>2625.6665948033333</v>
      </c>
      <c r="G68" s="58">
        <v>12.860407811281632</v>
      </c>
      <c r="H68" s="27"/>
      <c r="I68" s="27"/>
      <c r="J68" s="27"/>
      <c r="K68" s="27"/>
      <c r="L68" s="27"/>
    </row>
    <row r="69" spans="1:12" x14ac:dyDescent="0.25">
      <c r="A69" s="59">
        <v>38</v>
      </c>
      <c r="B69" s="50">
        <v>94</v>
      </c>
      <c r="C69" s="50">
        <v>16</v>
      </c>
      <c r="D69" s="56">
        <v>0.37960469722747803</v>
      </c>
      <c r="E69" s="56">
        <v>0.62039530277252197</v>
      </c>
      <c r="F69" s="58">
        <v>1050.3171584606171</v>
      </c>
      <c r="G69" s="58">
        <v>13.408304150561069</v>
      </c>
      <c r="H69" s="27"/>
      <c r="I69" s="27"/>
      <c r="J69" s="27"/>
      <c r="K69" s="27"/>
      <c r="L69" s="27"/>
    </row>
    <row r="70" spans="1:12" x14ac:dyDescent="0.25">
      <c r="A70" s="59">
        <v>39</v>
      </c>
      <c r="B70" s="50">
        <v>124</v>
      </c>
      <c r="C70" s="50">
        <v>21</v>
      </c>
      <c r="D70" s="56">
        <v>0.46358400583267212</v>
      </c>
      <c r="E70" s="56">
        <v>0.53641599416732788</v>
      </c>
      <c r="F70" s="58">
        <v>1373.5155832767487</v>
      </c>
      <c r="G70" s="58">
        <v>13.292086289774987</v>
      </c>
      <c r="H70" s="27"/>
      <c r="I70" s="27"/>
      <c r="J70" s="27"/>
      <c r="K70" s="27"/>
      <c r="L70" s="27"/>
    </row>
    <row r="71" spans="1:12" x14ac:dyDescent="0.25">
      <c r="A71" s="59">
        <v>40</v>
      </c>
      <c r="B71" s="50">
        <v>134</v>
      </c>
      <c r="C71" s="50">
        <v>22</v>
      </c>
      <c r="D71" s="56">
        <v>0.11954402923583984</v>
      </c>
      <c r="E71" s="56">
        <v>0.88045597076416016</v>
      </c>
      <c r="F71" s="58">
        <v>1519.9811000823975</v>
      </c>
      <c r="G71" s="58">
        <v>13.611771045514008</v>
      </c>
      <c r="H71" s="27"/>
      <c r="I71" s="27"/>
      <c r="J71" s="27"/>
      <c r="K71" s="27"/>
      <c r="L71" s="27"/>
    </row>
    <row r="72" spans="1:12" x14ac:dyDescent="0.25">
      <c r="A72" s="59">
        <v>41</v>
      </c>
      <c r="B72" s="50">
        <v>132</v>
      </c>
      <c r="C72" s="50">
        <v>22</v>
      </c>
      <c r="D72" s="56">
        <v>0.11547011137008667</v>
      </c>
      <c r="E72" s="56">
        <v>0.88452988862991333</v>
      </c>
      <c r="F72" s="58">
        <v>1502.7579452991486</v>
      </c>
      <c r="G72" s="58">
        <v>13.661435866355896</v>
      </c>
      <c r="H72" s="27"/>
      <c r="I72" s="27"/>
      <c r="J72" s="27"/>
      <c r="K72" s="27"/>
      <c r="L72" s="27"/>
    </row>
    <row r="73" spans="1:12" x14ac:dyDescent="0.25">
      <c r="A73" s="59">
        <v>42</v>
      </c>
      <c r="B73" s="50">
        <v>126</v>
      </c>
      <c r="C73" s="50">
        <v>21</v>
      </c>
      <c r="D73" s="56">
        <v>0.17377340793609619</v>
      </c>
      <c r="E73" s="56">
        <v>0.82622659206390381</v>
      </c>
      <c r="F73" s="58">
        <v>1427.1045506000519</v>
      </c>
      <c r="G73" s="58">
        <v>13.591471910476685</v>
      </c>
      <c r="H73" s="27"/>
      <c r="I73" s="27"/>
      <c r="J73" s="27"/>
      <c r="K73" s="27"/>
      <c r="L73" s="27"/>
    </row>
    <row r="74" spans="1:12" x14ac:dyDescent="0.25">
      <c r="A74" s="59">
        <v>43</v>
      </c>
      <c r="B74" s="50">
        <v>126</v>
      </c>
      <c r="C74" s="50">
        <v>21</v>
      </c>
      <c r="D74" s="56">
        <v>4.8118889331817627E-2</v>
      </c>
      <c r="E74" s="56">
        <v>0.95188111066818237</v>
      </c>
      <c r="F74" s="58">
        <v>1442.937019944191</v>
      </c>
      <c r="G74" s="58">
        <v>13.742257332801818</v>
      </c>
      <c r="H74" s="27"/>
      <c r="I74" s="27"/>
      <c r="J74" s="27"/>
      <c r="K74" s="27"/>
      <c r="L74" s="27"/>
    </row>
    <row r="75" spans="1:12" x14ac:dyDescent="0.25">
      <c r="A75" s="59">
        <v>44</v>
      </c>
      <c r="B75" s="50">
        <v>185</v>
      </c>
      <c r="C75" s="50">
        <v>31</v>
      </c>
      <c r="D75" s="56">
        <v>0.71481633186340332</v>
      </c>
      <c r="E75" s="56">
        <v>0.28518366813659668</v>
      </c>
      <c r="F75" s="58">
        <v>1997.7589786052704</v>
      </c>
      <c r="G75" s="58">
        <v>12.958436617980132</v>
      </c>
      <c r="H75" s="27"/>
      <c r="I75" s="27"/>
      <c r="J75" s="27"/>
      <c r="K75" s="27"/>
      <c r="L75" s="27"/>
    </row>
    <row r="76" spans="1:12" x14ac:dyDescent="0.25">
      <c r="A76" s="59">
        <v>45</v>
      </c>
      <c r="B76" s="50">
        <v>158</v>
      </c>
      <c r="C76" s="50">
        <v>26</v>
      </c>
      <c r="D76" s="56">
        <v>0.53302234411239624</v>
      </c>
      <c r="E76" s="56">
        <v>0.46697765588760376</v>
      </c>
      <c r="F76" s="58">
        <v>1727.7824696302414</v>
      </c>
      <c r="G76" s="58">
        <v>13.12239850352082</v>
      </c>
      <c r="H76" s="27"/>
      <c r="I76" s="27"/>
      <c r="J76" s="27"/>
      <c r="K76" s="27"/>
      <c r="L76" s="27"/>
    </row>
    <row r="77" spans="1:12" x14ac:dyDescent="0.25">
      <c r="A77" s="59">
        <v>46</v>
      </c>
      <c r="B77" s="50">
        <v>121</v>
      </c>
      <c r="C77" s="50">
        <v>20</v>
      </c>
      <c r="D77" s="56">
        <v>0.56100928783416748</v>
      </c>
      <c r="E77" s="56">
        <v>0.43899071216583252</v>
      </c>
      <c r="F77" s="58">
        <v>1321.1178761720657</v>
      </c>
      <c r="G77" s="58">
        <v>13.101995466169248</v>
      </c>
      <c r="H77" s="27"/>
      <c r="I77" s="27"/>
      <c r="J77" s="27"/>
      <c r="K77" s="27"/>
      <c r="L77" s="27"/>
    </row>
    <row r="78" spans="1:12" x14ac:dyDescent="0.25">
      <c r="A78" s="59">
        <v>47</v>
      </c>
      <c r="B78" s="50">
        <v>60</v>
      </c>
      <c r="C78" s="50">
        <v>10</v>
      </c>
      <c r="D78" s="56">
        <v>0.21673351526260376</v>
      </c>
      <c r="E78" s="56">
        <v>0.78326648473739624</v>
      </c>
      <c r="F78" s="58">
        <v>676.99598908424377</v>
      </c>
      <c r="G78" s="58">
        <v>13.539919781684876</v>
      </c>
      <c r="H78" s="27"/>
      <c r="I78" s="27"/>
      <c r="J78" s="27"/>
      <c r="K78" s="27"/>
      <c r="L78" s="27"/>
    </row>
    <row r="79" spans="1:12" x14ac:dyDescent="0.25">
      <c r="A79" s="59">
        <v>48</v>
      </c>
      <c r="B79" s="50">
        <v>219</v>
      </c>
      <c r="C79" s="50">
        <v>36</v>
      </c>
      <c r="D79" s="56">
        <v>0.46800565719604492</v>
      </c>
      <c r="E79" s="56">
        <v>0.53199434280395508</v>
      </c>
      <c r="F79" s="58">
        <v>2408.5067610740662</v>
      </c>
      <c r="G79" s="58">
        <v>13.197297320953787</v>
      </c>
      <c r="H79" s="27"/>
      <c r="I79" s="27"/>
      <c r="J79" s="27"/>
      <c r="K79" s="27"/>
      <c r="L79" s="27"/>
    </row>
    <row r="80" spans="1:12" x14ac:dyDescent="0.25">
      <c r="A80" s="59">
        <v>49</v>
      </c>
      <c r="B80" s="50">
        <v>71</v>
      </c>
      <c r="C80" s="50">
        <v>12</v>
      </c>
      <c r="D80" s="56">
        <v>0.74635475873947144</v>
      </c>
      <c r="E80" s="56">
        <v>0.25364524126052856</v>
      </c>
      <c r="F80" s="58">
        <v>766.00881212949753</v>
      </c>
      <c r="G80" s="58">
        <v>12.946627810639395</v>
      </c>
      <c r="H80" s="27"/>
      <c r="I80" s="27"/>
      <c r="J80" s="27"/>
      <c r="K80" s="27"/>
      <c r="L80" s="27"/>
    </row>
    <row r="81" spans="1:12" x14ac:dyDescent="0.25">
      <c r="A81" s="59">
        <v>50</v>
      </c>
      <c r="B81" s="50">
        <v>49</v>
      </c>
      <c r="C81" s="50">
        <v>8</v>
      </c>
      <c r="D81" s="56">
        <v>0.75231087207794189</v>
      </c>
      <c r="E81" s="56">
        <v>0.24768912792205811</v>
      </c>
      <c r="F81" s="58">
        <v>524.13676726818085</v>
      </c>
      <c r="G81" s="58">
        <v>12.836002463710551</v>
      </c>
      <c r="H81" s="27"/>
      <c r="I81" s="27"/>
      <c r="J81" s="27"/>
      <c r="K81" s="27"/>
      <c r="L81" s="27"/>
    </row>
    <row r="82" spans="1:12" x14ac:dyDescent="0.25">
      <c r="A82" s="59">
        <v>51</v>
      </c>
      <c r="B82" s="50">
        <v>182</v>
      </c>
      <c r="C82" s="50">
        <v>30</v>
      </c>
      <c r="D82" s="56">
        <v>0.39893227815628052</v>
      </c>
      <c r="E82" s="56">
        <v>0.60106772184371948</v>
      </c>
      <c r="F82" s="58">
        <v>2015.3943253755569</v>
      </c>
      <c r="G82" s="58">
        <v>13.28831423324543</v>
      </c>
      <c r="H82" s="27"/>
      <c r="I82" s="27"/>
      <c r="J82" s="27"/>
      <c r="K82" s="27"/>
      <c r="L82" s="27"/>
    </row>
    <row r="83" spans="1:12" x14ac:dyDescent="0.25">
      <c r="A83" s="59">
        <v>52</v>
      </c>
      <c r="B83" s="50">
        <v>74</v>
      </c>
      <c r="C83" s="50">
        <v>12</v>
      </c>
      <c r="D83" s="56">
        <v>0.90309882164001465</v>
      </c>
      <c r="E83" s="56">
        <v>9.6901178359985352E-2</v>
      </c>
      <c r="F83" s="58">
        <v>779.17068719863892</v>
      </c>
      <c r="G83" s="58">
        <v>12.635200332950902</v>
      </c>
      <c r="H83" s="27"/>
      <c r="I83" s="27"/>
      <c r="J83" s="27"/>
      <c r="K83" s="27"/>
      <c r="L83" s="27"/>
    </row>
    <row r="84" spans="1:12" x14ac:dyDescent="0.25">
      <c r="A84" s="59">
        <v>53</v>
      </c>
      <c r="B84" s="50">
        <v>175</v>
      </c>
      <c r="C84" s="50">
        <v>29</v>
      </c>
      <c r="D84" s="56">
        <v>0.74600690603256226</v>
      </c>
      <c r="E84" s="56">
        <v>0.25399309396743774</v>
      </c>
      <c r="F84" s="58">
        <v>1879.4487914443016</v>
      </c>
      <c r="G84" s="58">
        <v>12.887648855618068</v>
      </c>
      <c r="H84" s="27"/>
      <c r="I84" s="27"/>
      <c r="J84" s="27"/>
      <c r="K84" s="27"/>
      <c r="L84" s="27"/>
    </row>
    <row r="85" spans="1:12" x14ac:dyDescent="0.25">
      <c r="A85" s="59">
        <v>54</v>
      </c>
      <c r="B85" s="50">
        <v>138</v>
      </c>
      <c r="C85" s="50">
        <v>23</v>
      </c>
      <c r="D85" s="56">
        <v>8.8559508323669434E-2</v>
      </c>
      <c r="E85" s="56">
        <v>0.91144049167633057</v>
      </c>
      <c r="F85" s="58">
        <v>1574.7787878513336</v>
      </c>
      <c r="G85" s="58">
        <v>13.693728590011597</v>
      </c>
      <c r="H85" s="27"/>
      <c r="I85" s="27"/>
      <c r="J85" s="27"/>
      <c r="K85" s="27"/>
      <c r="L85" s="27"/>
    </row>
    <row r="86" spans="1:12" x14ac:dyDescent="0.25">
      <c r="A86" s="59">
        <v>55</v>
      </c>
      <c r="B86" s="50">
        <v>86</v>
      </c>
      <c r="C86" s="50">
        <v>14</v>
      </c>
      <c r="D86" s="56">
        <v>0.6345711350440979</v>
      </c>
      <c r="E86" s="56">
        <v>0.3654288649559021</v>
      </c>
      <c r="F86" s="58">
        <v>929.42688238620758</v>
      </c>
      <c r="G86" s="58">
        <v>12.968747196086618</v>
      </c>
      <c r="H86" s="27"/>
      <c r="I86" s="27"/>
      <c r="J86" s="27"/>
      <c r="K86" s="27"/>
      <c r="L86" s="27"/>
    </row>
    <row r="87" spans="1:12" x14ac:dyDescent="0.25">
      <c r="A87" s="59">
        <v>56</v>
      </c>
      <c r="B87" s="50">
        <v>223</v>
      </c>
      <c r="C87" s="50">
        <v>37</v>
      </c>
      <c r="D87" s="56">
        <v>0.7130279541015625</v>
      </c>
      <c r="E87" s="56">
        <v>0.2869720458984375</v>
      </c>
      <c r="F87" s="58">
        <v>2402.9947662353516</v>
      </c>
      <c r="G87" s="58">
        <v>12.930913540279919</v>
      </c>
      <c r="H87" s="27"/>
      <c r="I87" s="27"/>
      <c r="J87" s="27"/>
      <c r="K87" s="27"/>
      <c r="L87" s="27"/>
    </row>
    <row r="88" spans="1:12" x14ac:dyDescent="0.25">
      <c r="A88" s="59">
        <v>57</v>
      </c>
      <c r="B88" s="50">
        <v>54</v>
      </c>
      <c r="C88" s="50">
        <v>9</v>
      </c>
      <c r="D88" s="56">
        <v>1.5682399272918701E-2</v>
      </c>
      <c r="E88" s="56">
        <v>0.9843176007270813</v>
      </c>
      <c r="F88" s="58">
        <v>620.15315043926239</v>
      </c>
      <c r="G88" s="58">
        <v>13.781181120872498</v>
      </c>
      <c r="H88" s="27"/>
      <c r="I88" s="27"/>
      <c r="J88" s="27"/>
      <c r="K88" s="27"/>
      <c r="L88" s="27"/>
    </row>
    <row r="89" spans="1:12" x14ac:dyDescent="0.25">
      <c r="A89" s="59">
        <v>58</v>
      </c>
      <c r="B89" s="50">
        <v>150</v>
      </c>
      <c r="C89" s="50">
        <v>25</v>
      </c>
      <c r="D89" s="56">
        <v>0.4311443567276001</v>
      </c>
      <c r="E89" s="56">
        <v>0.5688556432723999</v>
      </c>
      <c r="F89" s="58">
        <v>1660.32834649086</v>
      </c>
      <c r="G89" s="58">
        <v>13.28262677192688</v>
      </c>
      <c r="H89" s="27"/>
      <c r="I89" s="27"/>
      <c r="J89" s="27"/>
      <c r="K89" s="27"/>
      <c r="L89" s="27"/>
    </row>
    <row r="90" spans="1:12" x14ac:dyDescent="0.25">
      <c r="A90" s="59">
        <v>59</v>
      </c>
      <c r="B90" s="50">
        <v>160</v>
      </c>
      <c r="C90" s="50">
        <v>27</v>
      </c>
      <c r="D90" s="56">
        <v>0.40198260545730591</v>
      </c>
      <c r="E90" s="56">
        <v>0.59801739454269409</v>
      </c>
      <c r="F90" s="58">
        <v>1780.6827831268311</v>
      </c>
      <c r="G90" s="58">
        <v>13.355120873451233</v>
      </c>
      <c r="H90" s="27"/>
      <c r="I90" s="27"/>
      <c r="J90" s="27"/>
      <c r="K90" s="27"/>
      <c r="L90" s="27"/>
    </row>
    <row r="91" spans="1:12" x14ac:dyDescent="0.25">
      <c r="A91" s="59">
        <v>60</v>
      </c>
      <c r="B91" s="50">
        <v>47</v>
      </c>
      <c r="C91" s="50">
        <v>8</v>
      </c>
      <c r="D91" s="56">
        <v>0.27529549598693848</v>
      </c>
      <c r="E91" s="56">
        <v>0.72470450401306152</v>
      </c>
      <c r="F91" s="58">
        <v>530.06111168861389</v>
      </c>
      <c r="G91" s="58">
        <v>13.533475192049716</v>
      </c>
      <c r="H91" s="27"/>
      <c r="I91" s="27"/>
      <c r="J91" s="27"/>
      <c r="K91" s="27"/>
      <c r="L91" s="27"/>
    </row>
    <row r="92" spans="1:12" x14ac:dyDescent="0.25">
      <c r="A92" s="59">
        <v>61</v>
      </c>
      <c r="B92" s="50">
        <v>32</v>
      </c>
      <c r="C92" s="50">
        <v>5</v>
      </c>
      <c r="D92" s="56">
        <v>0.98537391424179077</v>
      </c>
      <c r="E92" s="56">
        <v>1.4626085758209229E-2</v>
      </c>
      <c r="F92" s="58">
        <v>331.4680347442627</v>
      </c>
      <c r="G92" s="58">
        <v>12.430051302909851</v>
      </c>
      <c r="H92" s="27"/>
      <c r="I92" s="27"/>
      <c r="J92" s="27"/>
      <c r="K92" s="27"/>
      <c r="L92" s="27"/>
    </row>
    <row r="93" spans="1:12" x14ac:dyDescent="0.25">
      <c r="A93" s="59">
        <v>62</v>
      </c>
      <c r="B93" s="50">
        <v>95</v>
      </c>
      <c r="C93" s="50">
        <v>16</v>
      </c>
      <c r="D93" s="56">
        <v>0.80258738994598389</v>
      </c>
      <c r="E93" s="56">
        <v>0.19741261005401611</v>
      </c>
      <c r="F93" s="58">
        <v>1018.7541979551315</v>
      </c>
      <c r="G93" s="58">
        <v>12.868474079433241</v>
      </c>
      <c r="H93" s="27"/>
      <c r="I93" s="27"/>
      <c r="J93" s="27"/>
      <c r="K93" s="27"/>
      <c r="L93" s="27"/>
    </row>
    <row r="94" spans="1:12" x14ac:dyDescent="0.25">
      <c r="A94" s="59">
        <v>63</v>
      </c>
      <c r="B94" s="50">
        <v>84</v>
      </c>
      <c r="C94" s="50">
        <v>14</v>
      </c>
      <c r="D94" s="56">
        <v>0.69610077142715454</v>
      </c>
      <c r="E94" s="56">
        <v>0.30389922857284546</v>
      </c>
      <c r="F94" s="58">
        <v>907.52753520011902</v>
      </c>
      <c r="G94" s="58">
        <v>12.964679074287414</v>
      </c>
      <c r="H94" s="27"/>
      <c r="I94" s="27"/>
      <c r="J94" s="27"/>
      <c r="K94" s="27"/>
      <c r="L94" s="27"/>
    </row>
    <row r="95" spans="1:12" x14ac:dyDescent="0.25">
      <c r="A95" s="59">
        <v>64</v>
      </c>
      <c r="B95" s="50">
        <v>70</v>
      </c>
      <c r="C95" s="50">
        <v>12</v>
      </c>
      <c r="D95" s="56">
        <v>0.41759920120239258</v>
      </c>
      <c r="E95" s="56">
        <v>0.58240079879760742</v>
      </c>
      <c r="F95" s="58">
        <v>780.76805591583252</v>
      </c>
      <c r="G95" s="58">
        <v>13.384595244271415</v>
      </c>
      <c r="H95" s="27"/>
      <c r="I95" s="27"/>
      <c r="J95" s="27"/>
      <c r="K95" s="27"/>
      <c r="L95" s="27"/>
    </row>
    <row r="96" spans="1:12" x14ac:dyDescent="0.25">
      <c r="A96" s="59">
        <v>65</v>
      </c>
      <c r="B96" s="50">
        <v>45</v>
      </c>
      <c r="C96" s="50">
        <v>8</v>
      </c>
      <c r="D96" s="56">
        <v>0.73448818922042847</v>
      </c>
      <c r="E96" s="56">
        <v>0.26551181077957153</v>
      </c>
      <c r="F96" s="58">
        <v>491.94803148508072</v>
      </c>
      <c r="G96" s="58">
        <v>13.118614172935485</v>
      </c>
      <c r="H96" s="27"/>
      <c r="I96" s="27"/>
      <c r="J96" s="27"/>
      <c r="K96" s="27"/>
      <c r="L96" s="27"/>
    </row>
    <row r="97" spans="1:12" x14ac:dyDescent="0.25">
      <c r="A97" s="59">
        <v>66</v>
      </c>
      <c r="B97" s="50">
        <v>109</v>
      </c>
      <c r="C97" s="50">
        <v>18</v>
      </c>
      <c r="D97" s="56">
        <v>0.2771683931350708</v>
      </c>
      <c r="E97" s="56">
        <v>0.7228316068649292</v>
      </c>
      <c r="F97" s="58">
        <v>1220.7886451482773</v>
      </c>
      <c r="G97" s="58">
        <v>13.439874992458099</v>
      </c>
      <c r="H97" s="27"/>
      <c r="I97" s="27"/>
      <c r="J97" s="27"/>
      <c r="K97" s="27"/>
      <c r="L97" s="27"/>
    </row>
    <row r="98" spans="1:12" x14ac:dyDescent="0.25">
      <c r="A98" s="59">
        <v>67</v>
      </c>
      <c r="B98" s="50">
        <v>95</v>
      </c>
      <c r="C98" s="50">
        <v>16</v>
      </c>
      <c r="D98" s="56">
        <v>0.3565862774848938</v>
      </c>
      <c r="E98" s="56">
        <v>0.6434137225151062</v>
      </c>
      <c r="F98" s="58">
        <v>1061.1243036389351</v>
      </c>
      <c r="G98" s="58">
        <v>13.403675414386548</v>
      </c>
      <c r="H98" s="27"/>
      <c r="I98" s="27"/>
      <c r="J98" s="27"/>
      <c r="K98" s="27"/>
      <c r="L98" s="27"/>
    </row>
    <row r="99" spans="1:12" x14ac:dyDescent="0.25">
      <c r="A99" s="59">
        <v>68</v>
      </c>
      <c r="B99" s="50">
        <v>235</v>
      </c>
      <c r="C99" s="50">
        <v>39</v>
      </c>
      <c r="D99" s="56">
        <v>0.4334571361541748</v>
      </c>
      <c r="E99" s="56">
        <v>0.5665428638458252</v>
      </c>
      <c r="F99" s="58">
        <v>2598.1375730037689</v>
      </c>
      <c r="G99" s="58">
        <v>13.267085479168182</v>
      </c>
      <c r="H99" s="27"/>
      <c r="I99" s="27"/>
      <c r="J99" s="27"/>
      <c r="K99" s="27"/>
      <c r="L99" s="27"/>
    </row>
    <row r="100" spans="1:12" x14ac:dyDescent="0.25">
      <c r="A100" s="59">
        <v>69</v>
      </c>
      <c r="B100" s="50">
        <v>46</v>
      </c>
      <c r="C100" s="50">
        <v>8</v>
      </c>
      <c r="D100" s="56">
        <v>0.94497102499008179</v>
      </c>
      <c r="E100" s="56">
        <v>5.5028975009918213E-2</v>
      </c>
      <c r="F100" s="58">
        <v>490.53133285045624</v>
      </c>
      <c r="G100" s="58">
        <v>12.796469552620598</v>
      </c>
      <c r="H100" s="27"/>
      <c r="I100" s="27"/>
      <c r="J100" s="27"/>
      <c r="K100" s="27"/>
      <c r="L100" s="27"/>
    </row>
    <row r="101" spans="1:12" x14ac:dyDescent="0.25">
      <c r="A101" s="59">
        <v>70</v>
      </c>
      <c r="B101" s="50">
        <v>32</v>
      </c>
      <c r="C101" s="50">
        <v>5</v>
      </c>
      <c r="D101" s="56">
        <v>0.12154996395111084</v>
      </c>
      <c r="E101" s="56">
        <v>0.87845003604888916</v>
      </c>
      <c r="F101" s="58">
        <v>359.11040115356445</v>
      </c>
      <c r="G101" s="58">
        <v>13.466640043258668</v>
      </c>
      <c r="H101" s="27"/>
      <c r="I101" s="27"/>
      <c r="J101" s="27"/>
      <c r="K101" s="27"/>
      <c r="L101" s="27"/>
    </row>
    <row r="102" spans="1:12" x14ac:dyDescent="0.25">
      <c r="A102" s="59">
        <v>71</v>
      </c>
      <c r="B102" s="50">
        <v>149</v>
      </c>
      <c r="C102" s="50">
        <v>25</v>
      </c>
      <c r="D102" s="56">
        <v>0.64595133066177368</v>
      </c>
      <c r="E102" s="56">
        <v>0.35404866933822632</v>
      </c>
      <c r="F102" s="58">
        <v>1619.7532517313957</v>
      </c>
      <c r="G102" s="58">
        <v>13.044992631393791</v>
      </c>
      <c r="H102" s="27"/>
      <c r="I102" s="27"/>
      <c r="J102" s="27"/>
      <c r="K102" s="27"/>
      <c r="L102" s="27"/>
    </row>
    <row r="103" spans="1:12" x14ac:dyDescent="0.25">
      <c r="A103" s="59">
        <v>72</v>
      </c>
      <c r="B103" s="50">
        <v>68</v>
      </c>
      <c r="C103" s="50">
        <v>11</v>
      </c>
      <c r="D103" s="56">
        <v>0.34783267974853516</v>
      </c>
      <c r="E103" s="56">
        <v>0.65216732025146484</v>
      </c>
      <c r="F103" s="58">
        <v>753.34737777709961</v>
      </c>
      <c r="G103" s="58">
        <v>13.294365490184111</v>
      </c>
      <c r="H103" s="27"/>
      <c r="I103" s="27"/>
      <c r="J103" s="27"/>
      <c r="K103" s="27"/>
      <c r="L103" s="27"/>
    </row>
    <row r="104" spans="1:12" x14ac:dyDescent="0.25">
      <c r="A104" s="59">
        <v>73</v>
      </c>
      <c r="B104" s="50">
        <v>185</v>
      </c>
      <c r="C104" s="50">
        <v>31</v>
      </c>
      <c r="D104" s="56">
        <v>0.10443228483200073</v>
      </c>
      <c r="E104" s="56">
        <v>0.89556771516799927</v>
      </c>
      <c r="F104" s="58">
        <v>2110.6800273060799</v>
      </c>
      <c r="G104" s="58">
        <v>13.690897474417815</v>
      </c>
      <c r="H104" s="27"/>
      <c r="I104" s="27"/>
      <c r="J104" s="27"/>
      <c r="K104" s="27"/>
      <c r="L104" s="27"/>
    </row>
    <row r="105" spans="1:12" x14ac:dyDescent="0.25">
      <c r="A105" s="59">
        <v>74</v>
      </c>
      <c r="B105" s="50">
        <v>209</v>
      </c>
      <c r="C105" s="50">
        <v>35</v>
      </c>
      <c r="D105" s="56">
        <v>0.185402512550354</v>
      </c>
      <c r="E105" s="56">
        <v>0.814597487449646</v>
      </c>
      <c r="F105" s="58">
        <v>2367.250874876976</v>
      </c>
      <c r="G105" s="58">
        <v>13.591871051925221</v>
      </c>
      <c r="H105" s="27"/>
      <c r="I105" s="27"/>
      <c r="J105" s="27"/>
      <c r="K105" s="27"/>
      <c r="L105" s="27"/>
    </row>
    <row r="106" spans="1:12" x14ac:dyDescent="0.25">
      <c r="A106" s="59">
        <v>75</v>
      </c>
      <c r="B106" s="50">
        <v>102</v>
      </c>
      <c r="C106" s="50">
        <v>17</v>
      </c>
      <c r="D106" s="56">
        <v>7.7684700489044189E-2</v>
      </c>
      <c r="E106" s="56">
        <v>0.92231529951095581</v>
      </c>
      <c r="F106" s="58">
        <v>1165.0761605501175</v>
      </c>
      <c r="G106" s="58">
        <v>13.706778359413146</v>
      </c>
      <c r="H106" s="27"/>
      <c r="I106" s="27"/>
      <c r="J106" s="27"/>
      <c r="K106" s="27"/>
      <c r="L106" s="27"/>
    </row>
    <row r="107" spans="1:12" x14ac:dyDescent="0.25">
      <c r="A107" s="59">
        <v>76</v>
      </c>
      <c r="B107" s="50">
        <v>102</v>
      </c>
      <c r="C107" s="50">
        <v>17</v>
      </c>
      <c r="D107" s="56">
        <v>0.43275952339172363</v>
      </c>
      <c r="E107" s="56">
        <v>0.56724047660827637</v>
      </c>
      <c r="F107" s="58">
        <v>1128.8585286140442</v>
      </c>
      <c r="G107" s="58">
        <v>13.280688571929932</v>
      </c>
      <c r="H107" s="27"/>
      <c r="I107" s="27"/>
      <c r="J107" s="27"/>
      <c r="K107" s="27"/>
      <c r="L107" s="27"/>
    </row>
    <row r="108" spans="1:12" x14ac:dyDescent="0.25">
      <c r="A108" s="59">
        <v>77</v>
      </c>
      <c r="B108" s="50">
        <v>88</v>
      </c>
      <c r="C108" s="50">
        <v>15</v>
      </c>
      <c r="D108" s="56">
        <v>0.9592708945274353</v>
      </c>
      <c r="E108" s="56">
        <v>4.0729105472564697E-2</v>
      </c>
      <c r="F108" s="58">
        <v>932.58416128158569</v>
      </c>
      <c r="G108" s="58">
        <v>12.717056744748897</v>
      </c>
      <c r="H108" s="27"/>
      <c r="I108" s="27"/>
      <c r="J108" s="27"/>
      <c r="K108" s="27"/>
      <c r="L108" s="27"/>
    </row>
    <row r="109" spans="1:12" x14ac:dyDescent="0.25">
      <c r="A109" s="59">
        <v>78</v>
      </c>
      <c r="B109" s="50">
        <v>229</v>
      </c>
      <c r="C109" s="50">
        <v>38</v>
      </c>
      <c r="D109" s="56">
        <v>0.54202926158905029</v>
      </c>
      <c r="E109" s="56">
        <v>0.45797073841094971</v>
      </c>
      <c r="F109" s="58">
        <v>2506.8752990961075</v>
      </c>
      <c r="G109" s="58">
        <v>13.136464449411918</v>
      </c>
      <c r="H109" s="27"/>
      <c r="I109" s="27"/>
      <c r="J109" s="27"/>
      <c r="K109" s="27"/>
      <c r="L109" s="27"/>
    </row>
    <row r="110" spans="1:12" x14ac:dyDescent="0.25">
      <c r="A110" s="59">
        <v>79</v>
      </c>
      <c r="B110" s="50">
        <v>89</v>
      </c>
      <c r="C110" s="50">
        <v>15</v>
      </c>
      <c r="D110" s="56">
        <v>0.49437671899795532</v>
      </c>
      <c r="E110" s="56">
        <v>0.50562328100204468</v>
      </c>
      <c r="F110" s="58">
        <v>982.00047200918198</v>
      </c>
      <c r="G110" s="58">
        <v>13.240455802370994</v>
      </c>
      <c r="H110" s="27"/>
      <c r="I110" s="27"/>
      <c r="J110" s="27"/>
      <c r="K110" s="27"/>
      <c r="L110" s="27"/>
    </row>
    <row r="111" spans="1:12" x14ac:dyDescent="0.25">
      <c r="A111" s="59">
        <v>80</v>
      </c>
      <c r="B111" s="50">
        <v>242</v>
      </c>
      <c r="C111" s="50">
        <v>40</v>
      </c>
      <c r="D111" s="56">
        <v>0.97296667098999023</v>
      </c>
      <c r="E111" s="56">
        <v>2.7033329010009766E-2</v>
      </c>
      <c r="F111" s="58">
        <v>2542.5420656204224</v>
      </c>
      <c r="G111" s="58">
        <v>12.607646606382259</v>
      </c>
      <c r="H111" s="27"/>
      <c r="I111" s="27"/>
      <c r="J111" s="27"/>
      <c r="K111" s="27"/>
      <c r="L111" s="27"/>
    </row>
    <row r="112" spans="1:12" x14ac:dyDescent="0.25">
      <c r="A112" s="59">
        <v>81</v>
      </c>
      <c r="B112" s="50">
        <v>36</v>
      </c>
      <c r="C112" s="50">
        <v>6</v>
      </c>
      <c r="D112" s="56">
        <v>0.2177998423576355</v>
      </c>
      <c r="E112" s="56">
        <v>0.7822001576423645</v>
      </c>
      <c r="F112" s="58">
        <v>406.15920567512512</v>
      </c>
      <c r="G112" s="58">
        <v>13.538640189170838</v>
      </c>
      <c r="H112" s="27"/>
      <c r="I112" s="27"/>
      <c r="J112" s="27"/>
      <c r="K112" s="27"/>
      <c r="L112" s="27"/>
    </row>
    <row r="113" spans="1:12" x14ac:dyDescent="0.25">
      <c r="A113" s="59">
        <v>82</v>
      </c>
      <c r="B113" s="50">
        <v>65</v>
      </c>
      <c r="C113" s="50">
        <v>11</v>
      </c>
      <c r="D113" s="56">
        <v>0.37899124622344971</v>
      </c>
      <c r="E113" s="56">
        <v>0.62100875377655029</v>
      </c>
      <c r="F113" s="58">
        <v>725.36556899547577</v>
      </c>
      <c r="G113" s="58">
        <v>13.391364350685707</v>
      </c>
      <c r="H113" s="27"/>
      <c r="I113" s="27"/>
      <c r="J113" s="27"/>
      <c r="K113" s="27"/>
      <c r="L113" s="27"/>
    </row>
    <row r="114" spans="1:12" x14ac:dyDescent="0.25">
      <c r="A114" s="59">
        <v>83</v>
      </c>
      <c r="B114" s="50">
        <v>217</v>
      </c>
      <c r="C114" s="50">
        <v>36</v>
      </c>
      <c r="D114" s="56">
        <v>0.39584428071975708</v>
      </c>
      <c r="E114" s="56">
        <v>0.60415571928024292</v>
      </c>
      <c r="F114" s="58">
        <v>2407.1017910838127</v>
      </c>
      <c r="G114" s="58">
        <v>13.311161978343664</v>
      </c>
      <c r="H114" s="27"/>
      <c r="I114" s="27"/>
      <c r="J114" s="27"/>
      <c r="K114" s="27"/>
      <c r="L114" s="27"/>
    </row>
    <row r="115" spans="1:12" x14ac:dyDescent="0.25">
      <c r="A115" s="59">
        <v>84</v>
      </c>
      <c r="B115" s="50">
        <v>228</v>
      </c>
      <c r="C115" s="50">
        <v>38</v>
      </c>
      <c r="D115" s="56">
        <v>0.28150343894958496</v>
      </c>
      <c r="E115" s="56">
        <v>0.71849656105041504</v>
      </c>
      <c r="F115" s="58">
        <v>2557.8172159194946</v>
      </c>
      <c r="G115" s="58">
        <v>13.462195873260498</v>
      </c>
      <c r="H115" s="27"/>
      <c r="I115" s="27"/>
      <c r="J115" s="27"/>
      <c r="K115" s="27"/>
      <c r="L115" s="27"/>
    </row>
    <row r="116" spans="1:12" x14ac:dyDescent="0.25">
      <c r="A116" s="59">
        <v>85</v>
      </c>
      <c r="B116" s="50">
        <v>14</v>
      </c>
      <c r="C116" s="50">
        <v>2</v>
      </c>
      <c r="D116" s="56">
        <v>0.50337117910385132</v>
      </c>
      <c r="E116" s="56">
        <v>0.49662882089614868</v>
      </c>
      <c r="F116" s="58">
        <v>148.95280349254608</v>
      </c>
      <c r="G116" s="58">
        <v>12.76738315650395</v>
      </c>
      <c r="H116" s="27"/>
      <c r="I116" s="27"/>
      <c r="J116" s="27"/>
      <c r="K116" s="27"/>
      <c r="L116" s="27"/>
    </row>
    <row r="117" spans="1:12" x14ac:dyDescent="0.25">
      <c r="A117" s="59">
        <v>86</v>
      </c>
      <c r="B117" s="50">
        <v>241</v>
      </c>
      <c r="C117" s="50">
        <v>40</v>
      </c>
      <c r="D117" s="56">
        <v>0.13873231410980225</v>
      </c>
      <c r="E117" s="56">
        <v>0.86126768589019775</v>
      </c>
      <c r="F117" s="58">
        <v>2735.5655122995377</v>
      </c>
      <c r="G117" s="58">
        <v>13.621073090288155</v>
      </c>
      <c r="H117" s="27"/>
      <c r="I117" s="27"/>
      <c r="J117" s="27"/>
      <c r="K117" s="27"/>
      <c r="L117" s="27"/>
    </row>
    <row r="118" spans="1:12" x14ac:dyDescent="0.25">
      <c r="A118" s="59">
        <v>87</v>
      </c>
      <c r="B118" s="50">
        <v>112</v>
      </c>
      <c r="C118" s="50">
        <v>19</v>
      </c>
      <c r="D118" s="56">
        <v>0.51725584268569946</v>
      </c>
      <c r="E118" s="56">
        <v>0.48274415731430054</v>
      </c>
      <c r="F118" s="58">
        <v>1235.0673456192017</v>
      </c>
      <c r="G118" s="58">
        <v>13.232864417348589</v>
      </c>
      <c r="H118" s="27"/>
      <c r="I118" s="27"/>
      <c r="J118" s="27"/>
      <c r="K118" s="27"/>
      <c r="L118" s="27"/>
    </row>
    <row r="119" spans="1:12" x14ac:dyDescent="0.25">
      <c r="A119" s="59">
        <v>88</v>
      </c>
      <c r="B119" s="50">
        <v>47</v>
      </c>
      <c r="C119" s="50">
        <v>8</v>
      </c>
      <c r="D119" s="56">
        <v>0.96536445617675781</v>
      </c>
      <c r="E119" s="56">
        <v>3.4635543823242188E-2</v>
      </c>
      <c r="F119" s="58">
        <v>497.62787055969238</v>
      </c>
      <c r="G119" s="58">
        <v>12.705392439821933</v>
      </c>
      <c r="H119" s="27"/>
      <c r="I119" s="27"/>
      <c r="J119" s="27"/>
      <c r="K119" s="27"/>
      <c r="L119" s="27"/>
    </row>
    <row r="120" spans="1:12" x14ac:dyDescent="0.25">
      <c r="A120" s="59">
        <v>89</v>
      </c>
      <c r="B120" s="50">
        <v>120</v>
      </c>
      <c r="C120" s="50">
        <v>20</v>
      </c>
      <c r="D120" s="56">
        <v>0.55750101804733276</v>
      </c>
      <c r="E120" s="56">
        <v>0.44249898195266724</v>
      </c>
      <c r="F120" s="58">
        <v>1313.0998778343201</v>
      </c>
      <c r="G120" s="58">
        <v>13.130998778343201</v>
      </c>
      <c r="H120" s="27"/>
      <c r="I120" s="27"/>
      <c r="J120" s="27"/>
      <c r="K120" s="27"/>
      <c r="L120" s="27"/>
    </row>
    <row r="121" spans="1:12" x14ac:dyDescent="0.25">
      <c r="A121" s="59">
        <v>90</v>
      </c>
      <c r="B121" s="50">
        <v>140</v>
      </c>
      <c r="C121" s="50">
        <v>23</v>
      </c>
      <c r="D121" s="56">
        <v>0.90920412540435791</v>
      </c>
      <c r="E121" s="56">
        <v>9.079587459564209E-2</v>
      </c>
      <c r="F121" s="58">
        <v>1477.7114224433899</v>
      </c>
      <c r="G121" s="58">
        <v>12.666097906657628</v>
      </c>
      <c r="H121" s="27"/>
      <c r="I121" s="27"/>
      <c r="J121" s="27"/>
      <c r="K121" s="27"/>
      <c r="L121" s="27"/>
    </row>
    <row r="122" spans="1:12" x14ac:dyDescent="0.25">
      <c r="A122" s="59">
        <v>91</v>
      </c>
      <c r="B122" s="50">
        <v>194</v>
      </c>
      <c r="C122" s="50">
        <v>32</v>
      </c>
      <c r="D122" s="56">
        <v>0.65725642442703247</v>
      </c>
      <c r="E122" s="56">
        <v>0.34274357557296753</v>
      </c>
      <c r="F122" s="58">
        <v>2098.4922536611557</v>
      </c>
      <c r="G122" s="58">
        <v>12.980364455636014</v>
      </c>
      <c r="H122" s="27"/>
      <c r="I122" s="27"/>
      <c r="J122" s="27"/>
      <c r="K122" s="27"/>
      <c r="L122" s="27"/>
    </row>
    <row r="123" spans="1:12" x14ac:dyDescent="0.25">
      <c r="A123" s="59">
        <v>92</v>
      </c>
      <c r="B123" s="50">
        <v>54</v>
      </c>
      <c r="C123" s="50">
        <v>9</v>
      </c>
      <c r="D123" s="56">
        <v>0.44111466407775879</v>
      </c>
      <c r="E123" s="56">
        <v>0.55888533592224121</v>
      </c>
      <c r="F123" s="58">
        <v>597.17980813980103</v>
      </c>
      <c r="G123" s="58">
        <v>13.270662403106689</v>
      </c>
      <c r="H123" s="27"/>
      <c r="I123" s="27"/>
      <c r="J123" s="27"/>
      <c r="K123" s="27"/>
      <c r="L123" s="27"/>
    </row>
    <row r="124" spans="1:12" x14ac:dyDescent="0.25">
      <c r="A124" s="59">
        <v>93</v>
      </c>
      <c r="B124" s="50">
        <v>86</v>
      </c>
      <c r="C124" s="50">
        <v>14</v>
      </c>
      <c r="D124" s="56">
        <v>0.69299453496932983</v>
      </c>
      <c r="E124" s="56">
        <v>0.30700546503067017</v>
      </c>
      <c r="F124" s="58">
        <v>924.40246999263763</v>
      </c>
      <c r="G124" s="58">
        <v>12.898639116176339</v>
      </c>
      <c r="H124" s="27"/>
      <c r="I124" s="27"/>
      <c r="J124" s="27"/>
      <c r="K124" s="27"/>
      <c r="L124" s="27"/>
    </row>
    <row r="125" spans="1:12" x14ac:dyDescent="0.25">
      <c r="A125" s="59">
        <v>94</v>
      </c>
      <c r="B125" s="50">
        <v>26</v>
      </c>
      <c r="C125" s="50">
        <v>4</v>
      </c>
      <c r="D125" s="56">
        <v>6.4491152763366699E-2</v>
      </c>
      <c r="E125" s="56">
        <v>0.9355088472366333</v>
      </c>
      <c r="F125" s="58">
        <v>292.32323002815247</v>
      </c>
      <c r="G125" s="58">
        <v>13.491841385914729</v>
      </c>
      <c r="H125" s="27"/>
      <c r="I125" s="27"/>
      <c r="J125" s="27"/>
      <c r="K125" s="27"/>
      <c r="L125" s="27"/>
    </row>
    <row r="126" spans="1:12" x14ac:dyDescent="0.25">
      <c r="A126" s="59">
        <v>95</v>
      </c>
      <c r="B126" s="50">
        <v>94</v>
      </c>
      <c r="C126" s="50">
        <v>16</v>
      </c>
      <c r="D126" s="56">
        <v>0.7560926079750061</v>
      </c>
      <c r="E126" s="56">
        <v>0.2439073920249939</v>
      </c>
      <c r="F126" s="58">
        <v>1014.9272948503494</v>
      </c>
      <c r="G126" s="58">
        <v>12.956518657664036</v>
      </c>
      <c r="H126" s="27"/>
      <c r="I126" s="27"/>
      <c r="J126" s="27"/>
      <c r="K126" s="27"/>
      <c r="L126" s="27"/>
    </row>
    <row r="127" spans="1:12" x14ac:dyDescent="0.25">
      <c r="A127" s="59">
        <v>96</v>
      </c>
      <c r="B127" s="50">
        <v>223</v>
      </c>
      <c r="C127" s="50">
        <v>37</v>
      </c>
      <c r="D127" s="56">
        <v>0.70051431655883789</v>
      </c>
      <c r="E127" s="56">
        <v>0.29948568344116211</v>
      </c>
      <c r="F127" s="58">
        <v>2405.7853074073792</v>
      </c>
      <c r="G127" s="58">
        <v>12.945929905331189</v>
      </c>
      <c r="H127" s="27"/>
      <c r="I127" s="27"/>
      <c r="J127" s="27"/>
      <c r="K127" s="27"/>
      <c r="L127" s="27"/>
    </row>
    <row r="128" spans="1:12" x14ac:dyDescent="0.25">
      <c r="A128" s="59">
        <v>97</v>
      </c>
      <c r="B128" s="50">
        <v>22</v>
      </c>
      <c r="C128" s="50">
        <v>4</v>
      </c>
      <c r="D128" s="56">
        <v>0.49707096815109253</v>
      </c>
      <c r="E128" s="56">
        <v>0.50292903184890747</v>
      </c>
      <c r="F128" s="58">
        <v>247.06443870067596</v>
      </c>
      <c r="G128" s="58">
        <v>13.476242110945963</v>
      </c>
      <c r="H128" s="27"/>
      <c r="I128" s="27"/>
      <c r="J128" s="27"/>
      <c r="K128" s="27"/>
      <c r="L128" s="27"/>
    </row>
    <row r="129" spans="1:12" x14ac:dyDescent="0.25">
      <c r="A129" s="59">
        <v>98</v>
      </c>
      <c r="B129" s="50">
        <v>36</v>
      </c>
      <c r="C129" s="50">
        <v>6</v>
      </c>
      <c r="D129" s="56">
        <v>0.15543568134307861</v>
      </c>
      <c r="E129" s="56">
        <v>0.84456431865692139</v>
      </c>
      <c r="F129" s="58">
        <v>408.40431547164917</v>
      </c>
      <c r="G129" s="58">
        <v>13.613477182388305</v>
      </c>
      <c r="H129" s="27"/>
      <c r="I129" s="27"/>
      <c r="J129" s="27"/>
      <c r="K129" s="27"/>
      <c r="L129" s="27"/>
    </row>
    <row r="130" spans="1:12" x14ac:dyDescent="0.25">
      <c r="A130" s="59">
        <v>99</v>
      </c>
      <c r="B130" s="50">
        <v>43</v>
      </c>
      <c r="C130" s="50">
        <v>7</v>
      </c>
      <c r="D130" s="56">
        <v>0.22373753786087036</v>
      </c>
      <c r="E130" s="56">
        <v>0.77626246213912964</v>
      </c>
      <c r="F130" s="58">
        <v>482.37928587198257</v>
      </c>
      <c r="G130" s="58">
        <v>13.461747512706491</v>
      </c>
      <c r="H130" s="27"/>
      <c r="I130" s="27"/>
      <c r="J130" s="27"/>
      <c r="K130" s="27"/>
      <c r="L130" s="27"/>
    </row>
    <row r="131" spans="1:12" x14ac:dyDescent="0.25">
      <c r="A131" s="59">
        <v>100</v>
      </c>
      <c r="B131" s="50">
        <v>214</v>
      </c>
      <c r="C131" s="50">
        <v>36</v>
      </c>
      <c r="D131" s="56">
        <v>0.32614398002624512</v>
      </c>
      <c r="E131" s="56">
        <v>0.67385601997375488</v>
      </c>
      <c r="F131" s="58">
        <v>2396.2051882743835</v>
      </c>
      <c r="G131" s="58">
        <v>13.436664607146076</v>
      </c>
      <c r="H131" s="27"/>
      <c r="I131" s="27"/>
      <c r="J131" s="27"/>
      <c r="K131" s="27"/>
      <c r="L131" s="27"/>
    </row>
    <row r="132" spans="1:12" x14ac:dyDescent="0.25">
      <c r="A132" s="59">
        <v>101</v>
      </c>
      <c r="B132" s="50">
        <v>225</v>
      </c>
      <c r="C132" s="50">
        <v>38</v>
      </c>
      <c r="D132" s="56">
        <v>0.78448861837387085</v>
      </c>
      <c r="E132" s="56">
        <v>0.21551138162612915</v>
      </c>
      <c r="F132" s="58">
        <v>2418.4900608658791</v>
      </c>
      <c r="G132" s="58">
        <v>12.898613657951355</v>
      </c>
      <c r="H132" s="27"/>
      <c r="I132" s="27"/>
      <c r="J132" s="27"/>
      <c r="K132" s="27"/>
      <c r="L132" s="27"/>
    </row>
    <row r="133" spans="1:12" x14ac:dyDescent="0.25">
      <c r="A133" s="59">
        <v>102</v>
      </c>
      <c r="B133" s="50">
        <v>94</v>
      </c>
      <c r="C133" s="50">
        <v>16</v>
      </c>
      <c r="D133" s="56">
        <v>5.0262808799743652E-2</v>
      </c>
      <c r="E133" s="56">
        <v>0.94973719120025635</v>
      </c>
      <c r="F133" s="58">
        <v>1081.2752959728241</v>
      </c>
      <c r="G133" s="58">
        <v>13.80351441667435</v>
      </c>
      <c r="H133" s="27"/>
      <c r="I133" s="27"/>
      <c r="J133" s="27"/>
      <c r="K133" s="27"/>
      <c r="L133" s="27"/>
    </row>
    <row r="134" spans="1:12" x14ac:dyDescent="0.25">
      <c r="A134" s="59">
        <v>103</v>
      </c>
      <c r="B134" s="50">
        <v>24</v>
      </c>
      <c r="C134" s="50">
        <v>4</v>
      </c>
      <c r="D134" s="56">
        <v>0.51801592111587524</v>
      </c>
      <c r="E134" s="56">
        <v>0.48198407888412476</v>
      </c>
      <c r="F134" s="58">
        <v>263.56761789321899</v>
      </c>
      <c r="G134" s="58">
        <v>13.17838089466095</v>
      </c>
      <c r="H134" s="27"/>
      <c r="I134" s="27"/>
      <c r="J134" s="27"/>
      <c r="K134" s="27"/>
      <c r="L134" s="27"/>
    </row>
    <row r="135" spans="1:12" x14ac:dyDescent="0.25">
      <c r="A135" s="59">
        <v>104</v>
      </c>
      <c r="B135" s="50">
        <v>102</v>
      </c>
      <c r="C135" s="50">
        <v>17</v>
      </c>
      <c r="D135" s="56">
        <v>0.75702953338623047</v>
      </c>
      <c r="E135" s="56">
        <v>0.24297046661376953</v>
      </c>
      <c r="F135" s="58">
        <v>1095.7829875946045</v>
      </c>
      <c r="G135" s="58">
        <v>12.891564559936523</v>
      </c>
      <c r="H135" s="27"/>
      <c r="I135" s="27"/>
      <c r="J135" s="27"/>
      <c r="K135" s="27"/>
      <c r="L135" s="27"/>
    </row>
    <row r="136" spans="1:12" x14ac:dyDescent="0.25">
      <c r="A136" s="59">
        <v>105</v>
      </c>
      <c r="B136" s="50">
        <v>25</v>
      </c>
      <c r="C136" s="50">
        <v>4</v>
      </c>
      <c r="D136" s="56">
        <v>0.80066984891891479</v>
      </c>
      <c r="E136" s="56">
        <v>0.19933015108108521</v>
      </c>
      <c r="F136" s="58">
        <v>264.98325377702713</v>
      </c>
      <c r="G136" s="58">
        <v>12.719196181297303</v>
      </c>
      <c r="H136" s="27"/>
      <c r="I136" s="27"/>
      <c r="J136" s="27"/>
      <c r="K136" s="27"/>
      <c r="L136" s="27"/>
    </row>
    <row r="137" spans="1:12" x14ac:dyDescent="0.25">
      <c r="A137" s="59">
        <v>106</v>
      </c>
      <c r="B137" s="50">
        <v>233</v>
      </c>
      <c r="C137" s="50">
        <v>39</v>
      </c>
      <c r="D137" s="56">
        <v>0.32520544528961182</v>
      </c>
      <c r="E137" s="56">
        <v>0.67479455471038818</v>
      </c>
      <c r="F137" s="58">
        <v>2606.2271312475204</v>
      </c>
      <c r="G137" s="58">
        <v>13.422629002133153</v>
      </c>
      <c r="H137" s="27"/>
      <c r="I137" s="27"/>
      <c r="J137" s="27"/>
      <c r="K137" s="27"/>
      <c r="L137" s="27"/>
    </row>
    <row r="138" spans="1:12" x14ac:dyDescent="0.25">
      <c r="A138" s="59">
        <v>107</v>
      </c>
      <c r="B138" s="50">
        <v>117</v>
      </c>
      <c r="C138" s="50">
        <v>20</v>
      </c>
      <c r="D138" s="56">
        <v>0.97272902727127075</v>
      </c>
      <c r="E138" s="56">
        <v>2.7270972728729248E-2</v>
      </c>
      <c r="F138" s="58">
        <v>1239.1907038092613</v>
      </c>
      <c r="G138" s="58">
        <v>12.709648244197552</v>
      </c>
      <c r="H138" s="27"/>
      <c r="I138" s="27"/>
      <c r="J138" s="27"/>
      <c r="K138" s="27"/>
      <c r="L138" s="27"/>
    </row>
    <row r="139" spans="1:12" x14ac:dyDescent="0.25">
      <c r="A139" s="59">
        <v>108</v>
      </c>
      <c r="B139" s="50">
        <v>53</v>
      </c>
      <c r="C139" s="50">
        <v>9</v>
      </c>
      <c r="D139" s="56">
        <v>0.80426716804504395</v>
      </c>
      <c r="E139" s="56">
        <v>0.19573283195495605</v>
      </c>
      <c r="F139" s="58">
        <v>569.37384009361267</v>
      </c>
      <c r="G139" s="58">
        <v>12.891483171930853</v>
      </c>
      <c r="H139" s="27"/>
      <c r="I139" s="27"/>
      <c r="J139" s="27"/>
      <c r="K139" s="27"/>
      <c r="L139" s="27"/>
    </row>
    <row r="140" spans="1:12" x14ac:dyDescent="0.25">
      <c r="A140" s="59">
        <v>109</v>
      </c>
      <c r="B140" s="50">
        <v>219</v>
      </c>
      <c r="C140" s="50">
        <v>36</v>
      </c>
      <c r="D140" s="56">
        <v>0.67482608556747437</v>
      </c>
      <c r="E140" s="56">
        <v>0.32517391443252563</v>
      </c>
      <c r="F140" s="58">
        <v>2363.2130872607231</v>
      </c>
      <c r="G140" s="58">
        <v>12.949112806908072</v>
      </c>
      <c r="H140" s="27"/>
      <c r="I140" s="27"/>
      <c r="J140" s="27"/>
      <c r="K140" s="27"/>
      <c r="L140" s="27"/>
    </row>
    <row r="141" spans="1:12" x14ac:dyDescent="0.25">
      <c r="A141" s="59">
        <v>110</v>
      </c>
      <c r="B141" s="50">
        <v>136</v>
      </c>
      <c r="C141" s="50">
        <v>23</v>
      </c>
      <c r="D141" s="56">
        <v>0.90512931346893311</v>
      </c>
      <c r="E141" s="56">
        <v>9.4870686531066895E-2</v>
      </c>
      <c r="F141" s="58">
        <v>1445.9024133682251</v>
      </c>
      <c r="G141" s="58">
        <v>12.757962470896103</v>
      </c>
      <c r="H141" s="27"/>
      <c r="I141" s="27"/>
      <c r="J141" s="27"/>
      <c r="K141" s="27"/>
      <c r="L141" s="27"/>
    </row>
    <row r="142" spans="1:12" x14ac:dyDescent="0.25">
      <c r="A142" s="59">
        <v>111</v>
      </c>
      <c r="B142" s="50">
        <v>67</v>
      </c>
      <c r="C142" s="50">
        <v>11</v>
      </c>
      <c r="D142" s="56">
        <v>0.87577968835830688</v>
      </c>
      <c r="E142" s="56">
        <v>0.12422031164169312</v>
      </c>
      <c r="F142" s="58">
        <v>709.32276087999344</v>
      </c>
      <c r="G142" s="58">
        <v>12.704288254567047</v>
      </c>
      <c r="H142" s="27"/>
      <c r="I142" s="27"/>
      <c r="J142" s="27"/>
      <c r="K142" s="27"/>
      <c r="L142" s="27"/>
    </row>
    <row r="143" spans="1:12" x14ac:dyDescent="0.25">
      <c r="A143" s="59">
        <v>112</v>
      </c>
      <c r="B143" s="50">
        <v>90</v>
      </c>
      <c r="C143" s="50">
        <v>15</v>
      </c>
      <c r="D143" s="56">
        <v>0.41664838790893555</v>
      </c>
      <c r="E143" s="56">
        <v>0.58335161209106445</v>
      </c>
      <c r="F143" s="58">
        <v>997.5016450881958</v>
      </c>
      <c r="G143" s="58">
        <v>13.300021934509278</v>
      </c>
      <c r="H143" s="27"/>
      <c r="I143" s="27"/>
      <c r="J143" s="27"/>
      <c r="K143" s="27"/>
      <c r="L143" s="27"/>
    </row>
    <row r="144" spans="1:12" x14ac:dyDescent="0.25">
      <c r="A144" s="59">
        <v>113</v>
      </c>
      <c r="B144" s="50">
        <v>16</v>
      </c>
      <c r="C144" s="50">
        <v>3</v>
      </c>
      <c r="D144" s="56">
        <v>0.12308281660079956</v>
      </c>
      <c r="E144" s="56">
        <v>0.87691718339920044</v>
      </c>
      <c r="F144" s="58">
        <v>187.03067493438721</v>
      </c>
      <c r="G144" s="58">
        <v>14.027300620079041</v>
      </c>
      <c r="H144" s="27"/>
      <c r="I144" s="27"/>
      <c r="J144" s="27"/>
      <c r="K144" s="27"/>
      <c r="L144" s="27"/>
    </row>
    <row r="145" spans="1:12" x14ac:dyDescent="0.25">
      <c r="A145" s="59">
        <v>114</v>
      </c>
      <c r="B145" s="50">
        <v>218</v>
      </c>
      <c r="C145" s="50">
        <v>36</v>
      </c>
      <c r="D145" s="56">
        <v>0.95415794849395752</v>
      </c>
      <c r="E145" s="56">
        <v>4.584205150604248E-2</v>
      </c>
      <c r="F145" s="58">
        <v>2293.9935672283173</v>
      </c>
      <c r="G145" s="58">
        <v>12.627487526027435</v>
      </c>
      <c r="H145" s="27"/>
      <c r="I145" s="27"/>
      <c r="J145" s="27"/>
      <c r="K145" s="27"/>
      <c r="L145" s="27"/>
    </row>
    <row r="146" spans="1:12" x14ac:dyDescent="0.25">
      <c r="A146" s="59">
        <v>115</v>
      </c>
      <c r="B146" s="50">
        <v>59</v>
      </c>
      <c r="C146" s="50">
        <v>10</v>
      </c>
      <c r="D146" s="56">
        <v>0.79729729890823364</v>
      </c>
      <c r="E146" s="56">
        <v>0.20270270109176636</v>
      </c>
      <c r="F146" s="58">
        <v>633.95945936441422</v>
      </c>
      <c r="G146" s="58">
        <v>12.894090698937239</v>
      </c>
      <c r="H146" s="27"/>
      <c r="I146" s="27"/>
      <c r="J146" s="27"/>
      <c r="K146" s="27"/>
      <c r="L146" s="27"/>
    </row>
    <row r="147" spans="1:12" x14ac:dyDescent="0.25">
      <c r="A147" s="59">
        <v>116</v>
      </c>
      <c r="B147" s="50">
        <v>50</v>
      </c>
      <c r="C147" s="50">
        <v>8</v>
      </c>
      <c r="D147" s="56">
        <v>0.69628500938415527</v>
      </c>
      <c r="E147" s="56">
        <v>0.30371499061584473</v>
      </c>
      <c r="F147" s="58">
        <v>535.18574953079224</v>
      </c>
      <c r="G147" s="58">
        <v>12.844457988739014</v>
      </c>
      <c r="H147" s="27"/>
      <c r="I147" s="27"/>
      <c r="J147" s="27"/>
      <c r="K147" s="27"/>
      <c r="L147" s="27"/>
    </row>
    <row r="148" spans="1:12" x14ac:dyDescent="0.25">
      <c r="A148" s="59">
        <v>117</v>
      </c>
      <c r="B148" s="50">
        <v>38</v>
      </c>
      <c r="C148" s="50">
        <v>6</v>
      </c>
      <c r="D148" s="56">
        <v>0.40160459280014038</v>
      </c>
      <c r="E148" s="56">
        <v>0.59839540719985962</v>
      </c>
      <c r="F148" s="58">
        <v>416.73902547359467</v>
      </c>
      <c r="G148" s="58">
        <v>13.160179751797726</v>
      </c>
      <c r="H148" s="27"/>
      <c r="I148" s="27"/>
      <c r="J148" s="27"/>
      <c r="K148" s="27"/>
      <c r="L148" s="27"/>
    </row>
    <row r="149" spans="1:12" x14ac:dyDescent="0.25">
      <c r="A149" s="59">
        <v>118</v>
      </c>
      <c r="B149" s="50">
        <v>39</v>
      </c>
      <c r="C149" s="50">
        <v>6</v>
      </c>
      <c r="D149" s="56">
        <v>1.6297698020935059E-2</v>
      </c>
      <c r="E149" s="56">
        <v>0.98370230197906494</v>
      </c>
      <c r="F149" s="58">
        <v>440.36438977718353</v>
      </c>
      <c r="G149" s="58">
        <v>13.549673531605647</v>
      </c>
      <c r="H149" s="27"/>
      <c r="I149" s="27"/>
      <c r="J149" s="27"/>
      <c r="K149" s="27"/>
      <c r="L149" s="27"/>
    </row>
    <row r="150" spans="1:12" x14ac:dyDescent="0.25">
      <c r="A150" s="59">
        <v>119</v>
      </c>
      <c r="B150" s="50">
        <v>69</v>
      </c>
      <c r="C150" s="50">
        <v>12</v>
      </c>
      <c r="D150" s="56">
        <v>0.16776281595230103</v>
      </c>
      <c r="E150" s="56">
        <v>0.83223718404769897</v>
      </c>
      <c r="F150" s="58">
        <v>789.42436569929123</v>
      </c>
      <c r="G150" s="58">
        <v>13.729119403465935</v>
      </c>
      <c r="H150" s="27"/>
      <c r="I150" s="27"/>
      <c r="J150" s="27"/>
      <c r="K150" s="27"/>
      <c r="L150" s="27"/>
    </row>
    <row r="151" spans="1:12" x14ac:dyDescent="0.25">
      <c r="A151" s="59">
        <v>120</v>
      </c>
      <c r="B151" s="50">
        <v>76</v>
      </c>
      <c r="C151" s="50">
        <v>13</v>
      </c>
      <c r="D151" s="56">
        <v>0.16423416137695313</v>
      </c>
      <c r="E151" s="56">
        <v>0.83576583862304688</v>
      </c>
      <c r="F151" s="58">
        <v>866.51820373535156</v>
      </c>
      <c r="G151" s="58">
        <v>13.68186637476871</v>
      </c>
      <c r="H151" s="27"/>
      <c r="I151" s="27"/>
      <c r="J151" s="27"/>
      <c r="K151" s="27"/>
      <c r="L151" s="27"/>
    </row>
    <row r="152" spans="1:12" x14ac:dyDescent="0.25">
      <c r="A152" s="59">
        <v>121</v>
      </c>
      <c r="B152" s="50">
        <v>90</v>
      </c>
      <c r="C152" s="50">
        <v>15</v>
      </c>
      <c r="D152" s="56">
        <v>0.50972002744674683</v>
      </c>
      <c r="E152" s="56">
        <v>0.49027997255325317</v>
      </c>
      <c r="F152" s="58">
        <v>989.12519752979279</v>
      </c>
      <c r="G152" s="58">
        <v>13.188335967063903</v>
      </c>
      <c r="H152" s="27"/>
      <c r="I152" s="27"/>
      <c r="J152" s="27"/>
      <c r="K152" s="27"/>
      <c r="L152" s="27"/>
    </row>
    <row r="153" spans="1:12" x14ac:dyDescent="0.25">
      <c r="A153" s="59">
        <v>122</v>
      </c>
      <c r="B153" s="50">
        <v>218</v>
      </c>
      <c r="C153" s="50">
        <v>36</v>
      </c>
      <c r="D153" s="56">
        <v>0.40606272220611572</v>
      </c>
      <c r="E153" s="56">
        <v>0.59393727779388428</v>
      </c>
      <c r="F153" s="58">
        <v>2413.4783265590668</v>
      </c>
      <c r="G153" s="58">
        <v>13.285201797572844</v>
      </c>
      <c r="H153" s="27"/>
      <c r="I153" s="27"/>
      <c r="J153" s="27"/>
      <c r="K153" s="27"/>
      <c r="L153" s="27"/>
    </row>
    <row r="154" spans="1:12" x14ac:dyDescent="0.25">
      <c r="A154" s="59">
        <v>123</v>
      </c>
      <c r="B154" s="50">
        <v>134</v>
      </c>
      <c r="C154" s="50">
        <v>22</v>
      </c>
      <c r="D154" s="56">
        <v>0.10613375902175903</v>
      </c>
      <c r="E154" s="56">
        <v>0.89386624097824097</v>
      </c>
      <c r="F154" s="58">
        <v>1521.7780762910843</v>
      </c>
      <c r="G154" s="58">
        <v>13.627863369770905</v>
      </c>
      <c r="H154" s="27"/>
      <c r="I154" s="27"/>
      <c r="J154" s="27"/>
      <c r="K154" s="27"/>
      <c r="L154" s="27"/>
    </row>
    <row r="155" spans="1:12" x14ac:dyDescent="0.25">
      <c r="A155" s="59">
        <v>124</v>
      </c>
      <c r="B155" s="50">
        <v>244</v>
      </c>
      <c r="C155" s="50">
        <v>41</v>
      </c>
      <c r="D155" s="56">
        <v>0.2761232852935791</v>
      </c>
      <c r="E155" s="56">
        <v>0.7238767147064209</v>
      </c>
      <c r="F155" s="58">
        <v>2743.6259183883667</v>
      </c>
      <c r="G155" s="58">
        <v>13.493242221582131</v>
      </c>
      <c r="H155" s="27"/>
      <c r="I155" s="27"/>
      <c r="J155" s="27"/>
      <c r="K155" s="27"/>
      <c r="L155" s="27"/>
    </row>
    <row r="156" spans="1:12" x14ac:dyDescent="0.25">
      <c r="A156" s="59">
        <v>125</v>
      </c>
      <c r="B156" s="50">
        <v>178</v>
      </c>
      <c r="C156" s="50">
        <v>30</v>
      </c>
      <c r="D156" s="56">
        <v>0.6430467963218689</v>
      </c>
      <c r="E156" s="56">
        <v>0.3569532036781311</v>
      </c>
      <c r="F156" s="58">
        <v>1937.5376702547073</v>
      </c>
      <c r="G156" s="58">
        <v>13.062051709582297</v>
      </c>
      <c r="H156" s="27"/>
      <c r="I156" s="27"/>
      <c r="J156" s="27"/>
      <c r="K156" s="27"/>
      <c r="L156" s="27"/>
    </row>
    <row r="157" spans="1:12" x14ac:dyDescent="0.25">
      <c r="A157" s="59">
        <v>126</v>
      </c>
      <c r="B157" s="50">
        <v>168</v>
      </c>
      <c r="C157" s="50">
        <v>28</v>
      </c>
      <c r="D157" s="56">
        <v>0.84909999370574951</v>
      </c>
      <c r="E157" s="56">
        <v>0.15090000629425049</v>
      </c>
      <c r="F157" s="58">
        <v>1789.3512010574341</v>
      </c>
      <c r="G157" s="58">
        <v>12.781080007553101</v>
      </c>
      <c r="H157" s="27"/>
      <c r="I157" s="27"/>
      <c r="J157" s="27"/>
      <c r="K157" s="27"/>
      <c r="L157" s="27"/>
    </row>
    <row r="158" spans="1:12" x14ac:dyDescent="0.25">
      <c r="A158" s="59">
        <v>127</v>
      </c>
      <c r="B158" s="50">
        <v>247</v>
      </c>
      <c r="C158" s="50">
        <v>41</v>
      </c>
      <c r="D158" s="56">
        <v>0.49796921014785767</v>
      </c>
      <c r="E158" s="56">
        <v>0.50203078985214233</v>
      </c>
      <c r="F158" s="58">
        <v>2715.0016050934792</v>
      </c>
      <c r="G158" s="58">
        <v>13.190291198834716</v>
      </c>
      <c r="H158" s="27"/>
      <c r="I158" s="27"/>
      <c r="J158" s="27"/>
      <c r="K158" s="27"/>
      <c r="L158" s="27"/>
    </row>
    <row r="159" spans="1:12" x14ac:dyDescent="0.25">
      <c r="A159" s="59">
        <v>128</v>
      </c>
      <c r="B159" s="50">
        <v>171</v>
      </c>
      <c r="C159" s="50">
        <v>28</v>
      </c>
      <c r="D159" s="56">
        <v>0.1877751350402832</v>
      </c>
      <c r="E159" s="56">
        <v>0.8122248649597168</v>
      </c>
      <c r="F159" s="58">
        <v>1926.8904519081116</v>
      </c>
      <c r="G159" s="58">
        <v>13.522038259004292</v>
      </c>
      <c r="H159" s="27"/>
      <c r="I159" s="27"/>
      <c r="J159" s="27"/>
      <c r="K159" s="27"/>
      <c r="L159" s="27"/>
    </row>
    <row r="160" spans="1:12" x14ac:dyDescent="0.25">
      <c r="A160" s="59">
        <v>129</v>
      </c>
      <c r="B160" s="50">
        <v>211</v>
      </c>
      <c r="C160" s="50">
        <v>35</v>
      </c>
      <c r="D160" s="56">
        <v>0.89661663770675659</v>
      </c>
      <c r="E160" s="56">
        <v>0.10338336229324341</v>
      </c>
      <c r="F160" s="58">
        <v>2234.8138894438744</v>
      </c>
      <c r="G160" s="58">
        <v>12.70984202527322</v>
      </c>
      <c r="H160" s="27"/>
      <c r="I160" s="27"/>
      <c r="J160" s="27"/>
      <c r="K160" s="27"/>
      <c r="L160" s="27"/>
    </row>
    <row r="161" spans="1:12" x14ac:dyDescent="0.25">
      <c r="A161" s="59">
        <v>130</v>
      </c>
      <c r="B161" s="50">
        <v>222</v>
      </c>
      <c r="C161" s="50">
        <v>37</v>
      </c>
      <c r="D161" s="56">
        <v>0.37281429767608643</v>
      </c>
      <c r="E161" s="56">
        <v>0.62718570232391357</v>
      </c>
      <c r="F161" s="58">
        <v>2470.2352259159088</v>
      </c>
      <c r="G161" s="58">
        <v>13.352622842788696</v>
      </c>
      <c r="H161" s="27"/>
      <c r="I161" s="27"/>
      <c r="J161" s="27"/>
      <c r="K161" s="27"/>
      <c r="L161" s="27"/>
    </row>
    <row r="162" spans="1:12" x14ac:dyDescent="0.25">
      <c r="A162" s="59">
        <v>131</v>
      </c>
      <c r="B162" s="50">
        <v>225</v>
      </c>
      <c r="C162" s="50">
        <v>38</v>
      </c>
      <c r="D162" s="56">
        <v>0.32355481386184692</v>
      </c>
      <c r="E162" s="56">
        <v>0.67644518613815308</v>
      </c>
      <c r="F162" s="58">
        <v>2522.2001668810844</v>
      </c>
      <c r="G162" s="58">
        <v>13.451734223365785</v>
      </c>
      <c r="H162" s="27"/>
      <c r="I162" s="27"/>
      <c r="J162" s="27"/>
      <c r="K162" s="27"/>
      <c r="L162" s="27"/>
    </row>
    <row r="163" spans="1:12" x14ac:dyDescent="0.25">
      <c r="A163" s="59">
        <v>132</v>
      </c>
      <c r="B163" s="50">
        <v>111</v>
      </c>
      <c r="C163" s="50">
        <v>18</v>
      </c>
      <c r="D163" s="56">
        <v>0.77083277702331543</v>
      </c>
      <c r="E163" s="56">
        <v>0.22916722297668457</v>
      </c>
      <c r="F163" s="58">
        <v>1183.437561750412</v>
      </c>
      <c r="G163" s="58">
        <v>12.79391958649094</v>
      </c>
      <c r="H163" s="27"/>
      <c r="I163" s="27"/>
      <c r="J163" s="27"/>
      <c r="K163" s="27"/>
      <c r="L163" s="27"/>
    </row>
    <row r="164" spans="1:12" x14ac:dyDescent="0.25">
      <c r="A164" s="59">
        <v>133</v>
      </c>
      <c r="B164" s="50">
        <v>213</v>
      </c>
      <c r="C164" s="50">
        <v>36</v>
      </c>
      <c r="D164" s="56">
        <v>0.21800035238265991</v>
      </c>
      <c r="E164" s="56">
        <v>0.78199964761734009</v>
      </c>
      <c r="F164" s="58">
        <v>2410.5659249424934</v>
      </c>
      <c r="G164" s="58">
        <v>13.580653098267568</v>
      </c>
      <c r="H164" s="27"/>
      <c r="I164" s="27"/>
      <c r="J164" s="27"/>
      <c r="K164" s="27"/>
      <c r="L164" s="27"/>
    </row>
    <row r="165" spans="1:12" x14ac:dyDescent="0.25">
      <c r="A165" s="59">
        <v>134</v>
      </c>
      <c r="B165" s="50">
        <v>178</v>
      </c>
      <c r="C165" s="50">
        <v>30</v>
      </c>
      <c r="D165" s="56">
        <v>0.44699323177337646</v>
      </c>
      <c r="E165" s="56">
        <v>0.55300676822662354</v>
      </c>
      <c r="F165" s="58">
        <v>1972.435204744339</v>
      </c>
      <c r="G165" s="58">
        <v>13.297315987040488</v>
      </c>
      <c r="H165" s="27"/>
      <c r="I165" s="27"/>
      <c r="J165" s="27"/>
      <c r="K165" s="27"/>
      <c r="L165" s="27"/>
    </row>
    <row r="166" spans="1:12" x14ac:dyDescent="0.25">
      <c r="A166" s="59">
        <v>135</v>
      </c>
      <c r="B166" s="50">
        <v>37</v>
      </c>
      <c r="C166" s="50">
        <v>6</v>
      </c>
      <c r="D166" s="56">
        <v>0.23602777719497681</v>
      </c>
      <c r="E166" s="56">
        <v>0.76397222280502319</v>
      </c>
      <c r="F166" s="58">
        <v>414.26697224378586</v>
      </c>
      <c r="G166" s="58">
        <v>13.435685586284947</v>
      </c>
      <c r="H166" s="27"/>
      <c r="I166" s="27"/>
      <c r="J166" s="27"/>
      <c r="K166" s="27"/>
      <c r="L166" s="27"/>
    </row>
    <row r="167" spans="1:12" x14ac:dyDescent="0.25">
      <c r="A167" s="59">
        <v>136</v>
      </c>
      <c r="B167" s="50">
        <v>185</v>
      </c>
      <c r="C167" s="50">
        <v>31</v>
      </c>
      <c r="D167" s="56">
        <v>0.87838459014892578</v>
      </c>
      <c r="E167" s="56">
        <v>0.12161540985107422</v>
      </c>
      <c r="F167" s="58">
        <v>1967.4988508224487</v>
      </c>
      <c r="G167" s="58">
        <v>12.762154708037505</v>
      </c>
      <c r="H167" s="27"/>
      <c r="I167" s="27"/>
      <c r="J167" s="27"/>
      <c r="K167" s="27"/>
      <c r="L167" s="27"/>
    </row>
    <row r="168" spans="1:12" x14ac:dyDescent="0.25">
      <c r="A168" s="59">
        <v>137</v>
      </c>
      <c r="B168" s="50">
        <v>224</v>
      </c>
      <c r="C168" s="50">
        <v>37</v>
      </c>
      <c r="D168" s="56">
        <v>0.61043280363082886</v>
      </c>
      <c r="E168" s="56">
        <v>0.38956719636917114</v>
      </c>
      <c r="F168" s="58">
        <v>2434.2630519866943</v>
      </c>
      <c r="G168" s="58">
        <v>13.040694921357291</v>
      </c>
      <c r="H168" s="27"/>
      <c r="I168" s="27"/>
      <c r="J168" s="27"/>
      <c r="K168" s="27"/>
      <c r="L168" s="27"/>
    </row>
    <row r="169" spans="1:12" x14ac:dyDescent="0.25">
      <c r="A169" s="59">
        <v>138</v>
      </c>
      <c r="B169" s="50">
        <v>223</v>
      </c>
      <c r="C169" s="50">
        <v>37</v>
      </c>
      <c r="D169" s="56">
        <v>0.37443220615386963</v>
      </c>
      <c r="E169" s="56">
        <v>0.62556779384613037</v>
      </c>
      <c r="F169" s="58">
        <v>2478.5016180276871</v>
      </c>
      <c r="G169" s="58">
        <v>13.337228437817151</v>
      </c>
      <c r="H169" s="27"/>
      <c r="I169" s="27"/>
      <c r="J169" s="27"/>
      <c r="K169" s="27"/>
      <c r="L169" s="27"/>
    </row>
    <row r="170" spans="1:12" x14ac:dyDescent="0.25">
      <c r="A170" s="59">
        <v>139</v>
      </c>
      <c r="B170" s="50">
        <v>21</v>
      </c>
      <c r="C170" s="50">
        <v>4</v>
      </c>
      <c r="D170" s="56">
        <v>0.38950186967849731</v>
      </c>
      <c r="E170" s="56">
        <v>0.61049813032150269</v>
      </c>
      <c r="F170" s="58">
        <v>240.82046073675156</v>
      </c>
      <c r="G170" s="58">
        <v>13.761169184957232</v>
      </c>
      <c r="H170" s="27"/>
      <c r="I170" s="27"/>
      <c r="J170" s="27"/>
      <c r="K170" s="27"/>
      <c r="L170" s="27"/>
    </row>
    <row r="171" spans="1:12" x14ac:dyDescent="0.25">
      <c r="A171" s="59">
        <v>140</v>
      </c>
      <c r="B171" s="50">
        <v>170</v>
      </c>
      <c r="C171" s="50">
        <v>28</v>
      </c>
      <c r="D171" s="56">
        <v>0.86058926582336426</v>
      </c>
      <c r="E171" s="56">
        <v>0.13941073417663574</v>
      </c>
      <c r="F171" s="58">
        <v>1803.6998248100281</v>
      </c>
      <c r="G171" s="58">
        <v>12.731998763364905</v>
      </c>
      <c r="H171" s="27"/>
      <c r="I171" s="27"/>
      <c r="J171" s="27"/>
      <c r="K171" s="27"/>
      <c r="L171" s="27"/>
    </row>
    <row r="172" spans="1:12" x14ac:dyDescent="0.25">
      <c r="A172" s="59">
        <v>141</v>
      </c>
      <c r="B172" s="50">
        <v>13</v>
      </c>
      <c r="C172" s="50">
        <v>2</v>
      </c>
      <c r="D172" s="56">
        <v>0.58593791723251343</v>
      </c>
      <c r="E172" s="56">
        <v>0.41406208276748657</v>
      </c>
      <c r="F172" s="58">
        <v>139.38280707597733</v>
      </c>
      <c r="G172" s="58">
        <v>12.866105268551753</v>
      </c>
      <c r="H172" s="27"/>
      <c r="I172" s="27"/>
      <c r="J172" s="27"/>
      <c r="K172" s="27"/>
      <c r="L172" s="27"/>
    </row>
    <row r="173" spans="1:12" x14ac:dyDescent="0.25">
      <c r="A173" s="59">
        <v>142</v>
      </c>
      <c r="B173" s="50">
        <v>15</v>
      </c>
      <c r="C173" s="50">
        <v>2</v>
      </c>
      <c r="D173" s="56">
        <v>0.93155944347381592</v>
      </c>
      <c r="E173" s="56">
        <v>6.8440556526184082E-2</v>
      </c>
      <c r="F173" s="58">
        <v>151.02660834789276</v>
      </c>
      <c r="G173" s="58">
        <v>12.082128667831421</v>
      </c>
      <c r="H173" s="27"/>
      <c r="I173" s="27"/>
      <c r="J173" s="27"/>
      <c r="K173" s="27"/>
      <c r="L173" s="27"/>
    </row>
    <row r="174" spans="1:12" x14ac:dyDescent="0.25">
      <c r="A174" s="59">
        <v>143</v>
      </c>
      <c r="B174" s="50">
        <v>87</v>
      </c>
      <c r="C174" s="50">
        <v>14</v>
      </c>
      <c r="D174" s="56">
        <v>0.51719242334365845</v>
      </c>
      <c r="E174" s="56">
        <v>0.48280757665634155</v>
      </c>
      <c r="F174" s="58">
        <v>948.00425916910172</v>
      </c>
      <c r="G174" s="58">
        <v>13.07592081612554</v>
      </c>
      <c r="H174" s="27"/>
      <c r="I174" s="27"/>
      <c r="J174" s="27"/>
      <c r="K174" s="27"/>
      <c r="L174" s="27"/>
    </row>
    <row r="175" spans="1:12" x14ac:dyDescent="0.25">
      <c r="A175" s="59">
        <v>144</v>
      </c>
      <c r="B175" s="50">
        <v>105</v>
      </c>
      <c r="C175" s="50">
        <v>18</v>
      </c>
      <c r="D175" s="56">
        <v>0.33030080795288086</v>
      </c>
      <c r="E175" s="56">
        <v>0.66969919204711914</v>
      </c>
      <c r="F175" s="58">
        <v>1180.3184151649475</v>
      </c>
      <c r="G175" s="58">
        <v>13.489353316170829</v>
      </c>
      <c r="H175" s="27"/>
      <c r="I175" s="27"/>
      <c r="J175" s="27"/>
      <c r="K175" s="27"/>
      <c r="L175" s="27"/>
    </row>
    <row r="176" spans="1:12" x14ac:dyDescent="0.25">
      <c r="A176" s="59">
        <v>145</v>
      </c>
      <c r="B176" s="50">
        <v>110</v>
      </c>
      <c r="C176" s="50">
        <v>18</v>
      </c>
      <c r="D176" s="56">
        <v>0.86845368146896362</v>
      </c>
      <c r="E176" s="56">
        <v>0.13154631853103638</v>
      </c>
      <c r="F176" s="58">
        <v>1164.470095038414</v>
      </c>
      <c r="G176" s="58">
        <v>12.70331012769179</v>
      </c>
      <c r="H176" s="27"/>
      <c r="I176" s="27"/>
      <c r="J176" s="27"/>
      <c r="K176" s="27"/>
      <c r="L176" s="27"/>
    </row>
    <row r="177" spans="1:12" x14ac:dyDescent="0.25">
      <c r="A177" s="59">
        <v>146</v>
      </c>
      <c r="B177" s="50">
        <v>149</v>
      </c>
      <c r="C177" s="50">
        <v>25</v>
      </c>
      <c r="D177" s="56">
        <v>0.25906097888946533</v>
      </c>
      <c r="E177" s="56">
        <v>0.74093902111053467</v>
      </c>
      <c r="F177" s="58">
        <v>1677.3999141454697</v>
      </c>
      <c r="G177" s="58">
        <v>13.509261053520561</v>
      </c>
      <c r="H177" s="27"/>
      <c r="I177" s="27"/>
      <c r="J177" s="27"/>
      <c r="K177" s="27"/>
      <c r="L177" s="27"/>
    </row>
    <row r="178" spans="1:12" x14ac:dyDescent="0.25">
      <c r="A178" s="59">
        <v>147</v>
      </c>
      <c r="B178" s="50">
        <v>70</v>
      </c>
      <c r="C178" s="50">
        <v>12</v>
      </c>
      <c r="D178" s="56">
        <v>0.25954133272171021</v>
      </c>
      <c r="E178" s="56">
        <v>0.74045866727828979</v>
      </c>
      <c r="F178" s="58">
        <v>791.83210670948029</v>
      </c>
      <c r="G178" s="58">
        <v>13.574264686448233</v>
      </c>
      <c r="H178" s="27"/>
      <c r="I178" s="27"/>
      <c r="J178" s="27"/>
      <c r="K178" s="27"/>
      <c r="L178" s="27"/>
    </row>
    <row r="179" spans="1:12" x14ac:dyDescent="0.25">
      <c r="A179" s="59">
        <v>148</v>
      </c>
      <c r="B179" s="50">
        <v>159</v>
      </c>
      <c r="C179" s="50">
        <v>26</v>
      </c>
      <c r="D179" s="56">
        <v>0.17869353294372559</v>
      </c>
      <c r="E179" s="56">
        <v>0.82130646705627441</v>
      </c>
      <c r="F179" s="58">
        <v>1792.5877282619476</v>
      </c>
      <c r="G179" s="58">
        <v>13.528963986882625</v>
      </c>
      <c r="H179" s="27"/>
      <c r="I179" s="27"/>
      <c r="J179" s="27"/>
      <c r="K179" s="27"/>
      <c r="L179" s="27"/>
    </row>
    <row r="180" spans="1:12" x14ac:dyDescent="0.25">
      <c r="A180" s="59">
        <v>149</v>
      </c>
      <c r="B180" s="50">
        <v>123</v>
      </c>
      <c r="C180" s="50">
        <v>20</v>
      </c>
      <c r="D180" s="56">
        <v>0.34695714712142944</v>
      </c>
      <c r="E180" s="56">
        <v>0.65304285287857056</v>
      </c>
      <c r="F180" s="58">
        <v>1364.3242709040642</v>
      </c>
      <c r="G180" s="58">
        <v>13.310480691746967</v>
      </c>
      <c r="H180" s="27"/>
      <c r="I180" s="27"/>
      <c r="J180" s="27"/>
      <c r="K180" s="27"/>
      <c r="L180" s="27"/>
    </row>
    <row r="181" spans="1:12" x14ac:dyDescent="0.25">
      <c r="A181" s="59">
        <v>150</v>
      </c>
      <c r="B181" s="50">
        <v>106</v>
      </c>
      <c r="C181" s="50">
        <v>18</v>
      </c>
      <c r="D181" s="56">
        <v>2.5056600570678711E-3</v>
      </c>
      <c r="E181" s="56">
        <v>0.99749433994293213</v>
      </c>
      <c r="F181" s="58">
        <v>1223.7344000339508</v>
      </c>
      <c r="G181" s="58">
        <v>13.853596981516425</v>
      </c>
      <c r="H181" s="27"/>
      <c r="I181" s="27"/>
      <c r="J181" s="27"/>
      <c r="K181" s="27"/>
      <c r="L181" s="27"/>
    </row>
    <row r="182" spans="1:12" x14ac:dyDescent="0.25">
      <c r="A182" s="59">
        <v>151</v>
      </c>
      <c r="B182" s="50">
        <v>73</v>
      </c>
      <c r="C182" s="50">
        <v>12</v>
      </c>
      <c r="D182" s="56">
        <v>0.74234205484390259</v>
      </c>
      <c r="E182" s="56">
        <v>0.25765794515609741</v>
      </c>
      <c r="F182" s="58">
        <v>782.80902999639511</v>
      </c>
      <c r="G182" s="58">
        <v>12.868093643776358</v>
      </c>
      <c r="H182" s="27"/>
      <c r="I182" s="27"/>
      <c r="J182" s="27"/>
      <c r="K182" s="27"/>
      <c r="L182" s="27"/>
    </row>
    <row r="183" spans="1:12" x14ac:dyDescent="0.25">
      <c r="A183" s="59">
        <v>152</v>
      </c>
      <c r="B183" s="50">
        <v>229</v>
      </c>
      <c r="C183" s="50">
        <v>38</v>
      </c>
      <c r="D183" s="56">
        <v>0.84088706970214844</v>
      </c>
      <c r="E183" s="56">
        <v>0.15911293029785156</v>
      </c>
      <c r="F183" s="58">
        <v>2438.436861038208</v>
      </c>
      <c r="G183" s="58">
        <v>12.777835079676199</v>
      </c>
      <c r="H183" s="27"/>
      <c r="I183" s="27"/>
      <c r="J183" s="27"/>
      <c r="K183" s="27"/>
      <c r="L183" s="27"/>
    </row>
    <row r="184" spans="1:12" x14ac:dyDescent="0.25">
      <c r="A184" s="59">
        <v>153</v>
      </c>
      <c r="B184" s="50">
        <v>135</v>
      </c>
      <c r="C184" s="50">
        <v>22</v>
      </c>
      <c r="D184" s="56">
        <v>0.27858942747116089</v>
      </c>
      <c r="E184" s="56">
        <v>0.72141057252883911</v>
      </c>
      <c r="F184" s="58">
        <v>1507.3904272913933</v>
      </c>
      <c r="G184" s="58">
        <v>13.399026020367941</v>
      </c>
      <c r="H184" s="27"/>
      <c r="I184" s="27"/>
      <c r="J184" s="27"/>
      <c r="K184" s="27"/>
      <c r="L184" s="27"/>
    </row>
    <row r="185" spans="1:12" x14ac:dyDescent="0.25">
      <c r="A185" s="59">
        <v>154</v>
      </c>
      <c r="B185" s="50">
        <v>221</v>
      </c>
      <c r="C185" s="50">
        <v>37</v>
      </c>
      <c r="D185" s="56">
        <v>0.70297014713287354</v>
      </c>
      <c r="E185" s="56">
        <v>0.29702985286712646</v>
      </c>
      <c r="F185" s="58">
        <v>2388.6435974836349</v>
      </c>
      <c r="G185" s="58">
        <v>12.970010484074036</v>
      </c>
      <c r="H185" s="27"/>
      <c r="I185" s="27"/>
      <c r="J185" s="27"/>
      <c r="K185" s="27"/>
      <c r="L185" s="27"/>
    </row>
    <row r="186" spans="1:12" x14ac:dyDescent="0.25">
      <c r="A186" s="59">
        <v>155</v>
      </c>
      <c r="B186" s="50">
        <v>201</v>
      </c>
      <c r="C186" s="50">
        <v>34</v>
      </c>
      <c r="D186" s="56">
        <v>0.4048646092414856</v>
      </c>
      <c r="E186" s="56">
        <v>0.5951353907585144</v>
      </c>
      <c r="F186" s="58">
        <v>2237.6222135424614</v>
      </c>
      <c r="G186" s="58">
        <v>13.358938588313203</v>
      </c>
      <c r="H186" s="27"/>
      <c r="I186" s="27"/>
      <c r="J186" s="27"/>
      <c r="K186" s="27"/>
      <c r="L186" s="27"/>
    </row>
    <row r="187" spans="1:12" x14ac:dyDescent="0.25">
      <c r="A187" s="59">
        <v>156</v>
      </c>
      <c r="B187" s="50">
        <v>148</v>
      </c>
      <c r="C187" s="50">
        <v>25</v>
      </c>
      <c r="D187" s="56">
        <v>0.81157135963439941</v>
      </c>
      <c r="E187" s="56">
        <v>0.18842864036560059</v>
      </c>
      <c r="F187" s="58">
        <v>1586.8874387741089</v>
      </c>
      <c r="G187" s="58">
        <v>12.866654908979262</v>
      </c>
      <c r="H187" s="27"/>
      <c r="I187" s="27"/>
      <c r="J187" s="27"/>
      <c r="K187" s="27"/>
      <c r="L187" s="27"/>
    </row>
    <row r="188" spans="1:12" x14ac:dyDescent="0.25">
      <c r="A188" s="59">
        <v>157</v>
      </c>
      <c r="B188" s="50">
        <v>230</v>
      </c>
      <c r="C188" s="50">
        <v>38</v>
      </c>
      <c r="D188" s="56">
        <v>0.74178069829940796</v>
      </c>
      <c r="E188" s="56">
        <v>0.25821930170059204</v>
      </c>
      <c r="F188" s="58">
        <v>2469.3904393911362</v>
      </c>
      <c r="G188" s="58">
        <v>12.883776205518972</v>
      </c>
      <c r="H188" s="27"/>
      <c r="I188" s="27"/>
      <c r="J188" s="27"/>
      <c r="K188" s="27"/>
      <c r="L188" s="27"/>
    </row>
    <row r="189" spans="1:12" x14ac:dyDescent="0.25">
      <c r="A189" s="59">
        <v>158</v>
      </c>
      <c r="B189" s="50">
        <v>118</v>
      </c>
      <c r="C189" s="50">
        <v>20</v>
      </c>
      <c r="D189" s="56">
        <v>0.43766391277313232</v>
      </c>
      <c r="E189" s="56">
        <v>0.56233608722686768</v>
      </c>
      <c r="F189" s="58">
        <v>1310.3556582927704</v>
      </c>
      <c r="G189" s="58">
        <v>13.325650762299359</v>
      </c>
      <c r="H189" s="27"/>
      <c r="I189" s="27"/>
      <c r="J189" s="27"/>
      <c r="K189" s="27"/>
      <c r="L189" s="27"/>
    </row>
    <row r="190" spans="1:12" x14ac:dyDescent="0.25">
      <c r="A190" s="59">
        <v>159</v>
      </c>
      <c r="B190" s="50">
        <v>82</v>
      </c>
      <c r="C190" s="50">
        <v>14</v>
      </c>
      <c r="D190" s="56">
        <v>7.7980577945709229E-2</v>
      </c>
      <c r="E190" s="56">
        <v>0.92201942205429077</v>
      </c>
      <c r="F190" s="58">
        <v>941.60559260845184</v>
      </c>
      <c r="G190" s="58">
        <v>13.779594038172466</v>
      </c>
      <c r="H190" s="27"/>
      <c r="I190" s="27"/>
      <c r="J190" s="27"/>
      <c r="K190" s="27"/>
      <c r="L190" s="27"/>
    </row>
    <row r="191" spans="1:12" x14ac:dyDescent="0.25">
      <c r="A191" s="59">
        <v>160</v>
      </c>
      <c r="B191" s="50">
        <v>171</v>
      </c>
      <c r="C191" s="50">
        <v>28</v>
      </c>
      <c r="D191" s="56">
        <v>0.41063165664672852</v>
      </c>
      <c r="E191" s="56">
        <v>0.58936834335327148</v>
      </c>
      <c r="F191" s="58">
        <v>1888.7819867134094</v>
      </c>
      <c r="G191" s="58">
        <v>13.254610433076557</v>
      </c>
      <c r="H191" s="27"/>
      <c r="I191" s="27"/>
      <c r="J191" s="27"/>
      <c r="K191" s="27"/>
      <c r="L191" s="27"/>
    </row>
    <row r="192" spans="1:12" x14ac:dyDescent="0.25">
      <c r="A192" s="59">
        <v>161</v>
      </c>
      <c r="B192" s="50">
        <v>143</v>
      </c>
      <c r="C192" s="50">
        <v>24</v>
      </c>
      <c r="D192" s="56">
        <v>0.33937519788742065</v>
      </c>
      <c r="E192" s="56">
        <v>0.66062480211257935</v>
      </c>
      <c r="F192" s="58">
        <v>1598.4693467020988</v>
      </c>
      <c r="G192" s="58">
        <v>13.413728783514117</v>
      </c>
      <c r="H192" s="27"/>
      <c r="I192" s="27"/>
      <c r="J192" s="27"/>
      <c r="K192" s="27"/>
      <c r="L192" s="27"/>
    </row>
    <row r="193" spans="1:12" x14ac:dyDescent="0.25">
      <c r="A193" s="59">
        <v>162</v>
      </c>
      <c r="B193" s="50">
        <v>38</v>
      </c>
      <c r="C193" s="50">
        <v>6</v>
      </c>
      <c r="D193" s="56">
        <v>0.71055424213409424</v>
      </c>
      <c r="E193" s="56">
        <v>0.28944575786590576</v>
      </c>
      <c r="F193" s="58">
        <v>404.99893879890442</v>
      </c>
      <c r="G193" s="58">
        <v>12.789440172596981</v>
      </c>
      <c r="H193" s="27"/>
      <c r="I193" s="27"/>
      <c r="J193" s="27"/>
      <c r="K193" s="27"/>
      <c r="L193" s="27"/>
    </row>
    <row r="194" spans="1:12" x14ac:dyDescent="0.25">
      <c r="A194" s="59">
        <v>163</v>
      </c>
      <c r="B194" s="50">
        <v>27</v>
      </c>
      <c r="C194" s="50">
        <v>4</v>
      </c>
      <c r="D194" s="56">
        <v>0.31228810548782349</v>
      </c>
      <c r="E194" s="56">
        <v>0.68771189451217651</v>
      </c>
      <c r="F194" s="58">
        <v>294.56822115182877</v>
      </c>
      <c r="G194" s="58">
        <v>13.091920940081279</v>
      </c>
      <c r="H194" s="27"/>
      <c r="I194" s="27"/>
      <c r="J194" s="27"/>
      <c r="K194" s="27"/>
      <c r="L194" s="27"/>
    </row>
    <row r="195" spans="1:12" x14ac:dyDescent="0.25">
      <c r="A195" s="59">
        <v>164</v>
      </c>
      <c r="B195" s="50">
        <v>10</v>
      </c>
      <c r="C195" s="50">
        <v>2</v>
      </c>
      <c r="D195" s="56">
        <v>0.79877352714538574</v>
      </c>
      <c r="E195" s="56">
        <v>0.20122647285461426</v>
      </c>
      <c r="F195" s="58">
        <v>112.01226472854614</v>
      </c>
      <c r="G195" s="58">
        <v>13.441471767425536</v>
      </c>
      <c r="H195" s="27"/>
      <c r="I195" s="27"/>
      <c r="J195" s="27"/>
      <c r="K195" s="27"/>
      <c r="L195" s="27"/>
    </row>
    <row r="196" spans="1:12" x14ac:dyDescent="0.25">
      <c r="A196" s="59">
        <v>165</v>
      </c>
      <c r="B196" s="50">
        <v>204</v>
      </c>
      <c r="C196" s="50">
        <v>34</v>
      </c>
      <c r="D196" s="56">
        <v>0.15175622701644897</v>
      </c>
      <c r="E196" s="56">
        <v>0.84824377298355103</v>
      </c>
      <c r="F196" s="58">
        <v>2315.0417296886444</v>
      </c>
      <c r="G196" s="58">
        <v>13.617892527580262</v>
      </c>
      <c r="H196" s="27"/>
      <c r="I196" s="27"/>
      <c r="J196" s="27"/>
      <c r="K196" s="27"/>
      <c r="L196" s="27"/>
    </row>
    <row r="197" spans="1:12" x14ac:dyDescent="0.25">
      <c r="A197" s="59">
        <v>166</v>
      </c>
      <c r="B197" s="50">
        <v>44</v>
      </c>
      <c r="C197" s="50">
        <v>7</v>
      </c>
      <c r="D197" s="56">
        <v>0.59299123287200928</v>
      </c>
      <c r="E197" s="56">
        <v>0.40700876712799072</v>
      </c>
      <c r="F197" s="58">
        <v>474.90838575363159</v>
      </c>
      <c r="G197" s="58">
        <v>12.952046884189953</v>
      </c>
      <c r="H197" s="27"/>
      <c r="I197" s="27"/>
      <c r="J197" s="27"/>
      <c r="K197" s="27"/>
      <c r="L197" s="27"/>
    </row>
    <row r="198" spans="1:12" x14ac:dyDescent="0.25">
      <c r="A198" s="59">
        <v>167</v>
      </c>
      <c r="B198" s="50">
        <v>114</v>
      </c>
      <c r="C198" s="50">
        <v>19</v>
      </c>
      <c r="D198" s="56">
        <v>0.95623689889907837</v>
      </c>
      <c r="E198" s="56">
        <v>4.3763101100921631E-2</v>
      </c>
      <c r="F198" s="58">
        <v>1201.9889935255051</v>
      </c>
      <c r="G198" s="58">
        <v>12.652515721321105</v>
      </c>
      <c r="H198" s="27"/>
      <c r="I198" s="27"/>
      <c r="J198" s="27"/>
      <c r="K198" s="27"/>
      <c r="L198" s="27"/>
    </row>
    <row r="199" spans="1:12" x14ac:dyDescent="0.25">
      <c r="A199" s="59">
        <v>168</v>
      </c>
      <c r="B199" s="50">
        <v>155</v>
      </c>
      <c r="C199" s="50">
        <v>26</v>
      </c>
      <c r="D199" s="56">
        <v>0.24314785003662109</v>
      </c>
      <c r="E199" s="56">
        <v>0.75685214996337891</v>
      </c>
      <c r="F199" s="58">
        <v>1747.3120832443237</v>
      </c>
      <c r="G199" s="58">
        <v>13.527577418665732</v>
      </c>
      <c r="H199" s="27"/>
      <c r="I199" s="27"/>
      <c r="J199" s="27"/>
      <c r="K199" s="27"/>
      <c r="L199" s="27"/>
    </row>
    <row r="200" spans="1:12" x14ac:dyDescent="0.25">
      <c r="A200" s="59">
        <v>169</v>
      </c>
      <c r="B200" s="50">
        <v>60</v>
      </c>
      <c r="C200" s="50">
        <v>10</v>
      </c>
      <c r="D200" s="56">
        <v>0.93997114896774292</v>
      </c>
      <c r="E200" s="56">
        <v>6.002885103225708E-2</v>
      </c>
      <c r="F200" s="58">
        <v>633.60173106193542</v>
      </c>
      <c r="G200" s="58">
        <v>12.672034621238708</v>
      </c>
      <c r="H200" s="27"/>
      <c r="I200" s="27"/>
      <c r="J200" s="27"/>
      <c r="K200" s="27"/>
      <c r="L200" s="27"/>
    </row>
    <row r="201" spans="1:12" x14ac:dyDescent="0.25">
      <c r="A201" s="59">
        <v>170</v>
      </c>
      <c r="B201" s="50">
        <v>179</v>
      </c>
      <c r="C201" s="50">
        <v>30</v>
      </c>
      <c r="D201" s="56">
        <v>0.11433279514312744</v>
      </c>
      <c r="E201" s="56">
        <v>0.88566720485687256</v>
      </c>
      <c r="F201" s="58">
        <v>2040.5344296693802</v>
      </c>
      <c r="G201" s="58">
        <v>13.67956042236456</v>
      </c>
      <c r="H201" s="27"/>
      <c r="I201" s="27"/>
      <c r="J201" s="27"/>
      <c r="K201" s="27"/>
      <c r="L201" s="27"/>
    </row>
    <row r="202" spans="1:12" x14ac:dyDescent="0.25">
      <c r="A202" s="59">
        <v>171</v>
      </c>
      <c r="B202" s="50">
        <v>33</v>
      </c>
      <c r="C202" s="50">
        <v>6</v>
      </c>
      <c r="D202" s="56">
        <v>0.98425322771072388</v>
      </c>
      <c r="E202" s="56">
        <v>1.5746772289276123E-2</v>
      </c>
      <c r="F202" s="58">
        <v>354.51964348554611</v>
      </c>
      <c r="G202" s="58">
        <v>12.891623399474405</v>
      </c>
      <c r="H202" s="27"/>
      <c r="I202" s="27"/>
      <c r="J202" s="27"/>
      <c r="K202" s="27"/>
      <c r="L202" s="27"/>
    </row>
    <row r="203" spans="1:12" x14ac:dyDescent="0.25">
      <c r="A203" s="59">
        <v>172</v>
      </c>
      <c r="B203" s="50">
        <v>197</v>
      </c>
      <c r="C203" s="50">
        <v>33</v>
      </c>
      <c r="D203" s="56">
        <v>0.63297581672668457</v>
      </c>
      <c r="E203" s="56">
        <v>0.36702418327331543</v>
      </c>
      <c r="F203" s="58">
        <v>2143.3037641048431</v>
      </c>
      <c r="G203" s="58">
        <v>13.055657446323918</v>
      </c>
      <c r="H203" s="27"/>
      <c r="I203" s="27"/>
      <c r="J203" s="27"/>
      <c r="K203" s="27"/>
      <c r="L203" s="27"/>
    </row>
    <row r="204" spans="1:12" x14ac:dyDescent="0.25">
      <c r="A204" s="59">
        <v>173</v>
      </c>
      <c r="B204" s="50">
        <v>34</v>
      </c>
      <c r="C204" s="50">
        <v>6</v>
      </c>
      <c r="D204" s="56">
        <v>0.59885638952255249</v>
      </c>
      <c r="E204" s="56">
        <v>0.40114361047744751</v>
      </c>
      <c r="F204" s="58">
        <v>375.63888275623322</v>
      </c>
      <c r="G204" s="58">
        <v>13.257842920808232</v>
      </c>
      <c r="H204" s="27"/>
      <c r="I204" s="27"/>
      <c r="J204" s="27"/>
      <c r="K204" s="27"/>
      <c r="L204" s="27"/>
    </row>
    <row r="205" spans="1:12" x14ac:dyDescent="0.25">
      <c r="A205" s="59">
        <v>174</v>
      </c>
      <c r="B205" s="50">
        <v>230</v>
      </c>
      <c r="C205" s="50">
        <v>38</v>
      </c>
      <c r="D205" s="56">
        <v>0.90256965160369873</v>
      </c>
      <c r="E205" s="56">
        <v>9.743034839630127E-2</v>
      </c>
      <c r="F205" s="58">
        <v>2432.4089801311493</v>
      </c>
      <c r="G205" s="58">
        <v>12.690829461553822</v>
      </c>
      <c r="H205" s="27"/>
      <c r="I205" s="27"/>
      <c r="J205" s="27"/>
      <c r="K205" s="27"/>
      <c r="L205" s="27"/>
    </row>
    <row r="206" spans="1:12" x14ac:dyDescent="0.25">
      <c r="A206" s="59">
        <v>175</v>
      </c>
      <c r="B206" s="50">
        <v>60</v>
      </c>
      <c r="C206" s="50">
        <v>10</v>
      </c>
      <c r="D206" s="56">
        <v>0.57486492395401001</v>
      </c>
      <c r="E206" s="56">
        <v>0.42513507604598999</v>
      </c>
      <c r="F206" s="58">
        <v>655.5081045627594</v>
      </c>
      <c r="G206" s="58">
        <v>13.110162091255187</v>
      </c>
      <c r="H206" s="27"/>
      <c r="I206" s="27"/>
      <c r="J206" s="27"/>
      <c r="K206" s="27"/>
      <c r="L206" s="27"/>
    </row>
    <row r="207" spans="1:12" x14ac:dyDescent="0.25">
      <c r="A207" s="59">
        <v>176</v>
      </c>
      <c r="B207" s="50">
        <v>148</v>
      </c>
      <c r="C207" s="50">
        <v>25</v>
      </c>
      <c r="D207" s="56">
        <v>0.24517393112182617</v>
      </c>
      <c r="E207" s="56">
        <v>0.75482606887817383</v>
      </c>
      <c r="F207" s="58">
        <v>1670.7142581939697</v>
      </c>
      <c r="G207" s="58">
        <v>13.546331823194349</v>
      </c>
      <c r="H207" s="27"/>
      <c r="I207" s="27"/>
      <c r="J207" s="27"/>
      <c r="K207" s="27"/>
      <c r="L207" s="27"/>
    </row>
    <row r="208" spans="1:12" x14ac:dyDescent="0.25">
      <c r="A208" s="59">
        <v>177</v>
      </c>
      <c r="B208" s="50">
        <v>193</v>
      </c>
      <c r="C208" s="50">
        <v>32</v>
      </c>
      <c r="D208" s="56">
        <v>0.86016243696212769</v>
      </c>
      <c r="E208" s="56">
        <v>0.13983756303787231</v>
      </c>
      <c r="F208" s="58">
        <v>2050.9886496663094</v>
      </c>
      <c r="G208" s="58">
        <v>12.752261034194669</v>
      </c>
      <c r="H208" s="27"/>
      <c r="I208" s="27"/>
      <c r="J208" s="27"/>
      <c r="K208" s="27"/>
      <c r="L208" s="27"/>
    </row>
    <row r="209" spans="1:12" x14ac:dyDescent="0.25">
      <c r="A209" s="59">
        <v>178</v>
      </c>
      <c r="B209" s="50">
        <v>228</v>
      </c>
      <c r="C209" s="50">
        <v>38</v>
      </c>
      <c r="D209" s="56">
        <v>7.4950337409973145E-2</v>
      </c>
      <c r="E209" s="56">
        <v>0.92504966259002686</v>
      </c>
      <c r="F209" s="58">
        <v>2604.9113230705261</v>
      </c>
      <c r="G209" s="58">
        <v>13.710059595108032</v>
      </c>
      <c r="H209" s="27"/>
      <c r="I209" s="27"/>
      <c r="J209" s="27"/>
      <c r="K209" s="27"/>
      <c r="L209" s="27"/>
    </row>
    <row r="210" spans="1:12" x14ac:dyDescent="0.25">
      <c r="A210" s="59">
        <v>179</v>
      </c>
      <c r="B210" s="50">
        <v>35</v>
      </c>
      <c r="C210" s="50">
        <v>6</v>
      </c>
      <c r="D210" s="56">
        <v>0.43882638216018677</v>
      </c>
      <c r="E210" s="56">
        <v>0.56117361783981323</v>
      </c>
      <c r="F210" s="58">
        <v>389.64107662439346</v>
      </c>
      <c r="G210" s="58">
        <v>13.359122627122062</v>
      </c>
      <c r="H210" s="27"/>
      <c r="I210" s="27"/>
      <c r="J210" s="27"/>
      <c r="K210" s="27"/>
      <c r="L210" s="27"/>
    </row>
    <row r="211" spans="1:12" x14ac:dyDescent="0.25">
      <c r="A211" s="59">
        <v>180</v>
      </c>
      <c r="B211" s="50">
        <v>68</v>
      </c>
      <c r="C211" s="50">
        <v>11</v>
      </c>
      <c r="D211" s="56">
        <v>0.7599790096282959</v>
      </c>
      <c r="E211" s="56">
        <v>0.2400209903717041</v>
      </c>
      <c r="F211" s="58">
        <v>725.32142734527588</v>
      </c>
      <c r="G211" s="58">
        <v>12.799789894328399</v>
      </c>
      <c r="H211" s="27"/>
      <c r="I211" s="27"/>
      <c r="J211" s="27"/>
      <c r="K211" s="27"/>
      <c r="L211" s="27"/>
    </row>
    <row r="212" spans="1:12" x14ac:dyDescent="0.25">
      <c r="A212" s="59">
        <v>181</v>
      </c>
      <c r="B212" s="50">
        <v>214</v>
      </c>
      <c r="C212" s="50">
        <v>36</v>
      </c>
      <c r="D212" s="56">
        <v>0.24567884206771851</v>
      </c>
      <c r="E212" s="56">
        <v>0.75432115793228149</v>
      </c>
      <c r="F212" s="58">
        <v>2413.4247277975082</v>
      </c>
      <c r="G212" s="58">
        <v>13.533222772696307</v>
      </c>
      <c r="H212" s="27"/>
      <c r="I212" s="27"/>
      <c r="J212" s="27"/>
      <c r="K212" s="27"/>
      <c r="L212" s="27"/>
    </row>
    <row r="213" spans="1:12" x14ac:dyDescent="0.25">
      <c r="A213" s="59">
        <v>182</v>
      </c>
      <c r="B213" s="50">
        <v>101</v>
      </c>
      <c r="C213" s="50">
        <v>17</v>
      </c>
      <c r="D213" s="56">
        <v>0.37860620021820068</v>
      </c>
      <c r="E213" s="56">
        <v>0.62139379978179932</v>
      </c>
      <c r="F213" s="58">
        <v>1125.7607737779617</v>
      </c>
      <c r="G213" s="58">
        <v>13.375375530035189</v>
      </c>
      <c r="H213" s="27"/>
      <c r="I213" s="27"/>
      <c r="J213" s="27"/>
      <c r="K213" s="27"/>
      <c r="L213" s="27"/>
    </row>
    <row r="214" spans="1:12" x14ac:dyDescent="0.25">
      <c r="A214" s="59">
        <v>183</v>
      </c>
      <c r="B214" s="50">
        <v>226</v>
      </c>
      <c r="C214" s="50">
        <v>38</v>
      </c>
      <c r="D214" s="56">
        <v>0.39724355936050415</v>
      </c>
      <c r="E214" s="56">
        <v>0.60275644063949585</v>
      </c>
      <c r="F214" s="58">
        <v>2514.2229555845261</v>
      </c>
      <c r="G214" s="58">
        <v>13.349856401333767</v>
      </c>
      <c r="H214" s="27"/>
      <c r="I214" s="27"/>
      <c r="J214" s="27"/>
      <c r="K214" s="27"/>
      <c r="L214" s="27"/>
    </row>
    <row r="215" spans="1:12" x14ac:dyDescent="0.25">
      <c r="A215" s="59">
        <v>184</v>
      </c>
      <c r="B215" s="50">
        <v>163</v>
      </c>
      <c r="C215" s="50">
        <v>27</v>
      </c>
      <c r="D215" s="56">
        <v>0.52657318115234375</v>
      </c>
      <c r="E215" s="56">
        <v>0.47342681884765625</v>
      </c>
      <c r="F215" s="58">
        <v>1786.168571472168</v>
      </c>
      <c r="G215" s="58">
        <v>13.149707274641727</v>
      </c>
      <c r="H215" s="27"/>
      <c r="I215" s="27"/>
      <c r="J215" s="27"/>
      <c r="K215" s="27"/>
      <c r="L215" s="27"/>
    </row>
    <row r="216" spans="1:12" x14ac:dyDescent="0.25">
      <c r="A216" s="59">
        <v>185</v>
      </c>
      <c r="B216" s="50">
        <v>92</v>
      </c>
      <c r="C216" s="50">
        <v>15</v>
      </c>
      <c r="D216" s="56">
        <v>0.27035921812057495</v>
      </c>
      <c r="E216" s="56">
        <v>0.72964078187942505</v>
      </c>
      <c r="F216" s="58">
        <v>1028.1269519329071</v>
      </c>
      <c r="G216" s="58">
        <v>13.410351546950963</v>
      </c>
      <c r="H216" s="27"/>
      <c r="I216" s="27"/>
      <c r="J216" s="27"/>
      <c r="K216" s="27"/>
      <c r="L216" s="27"/>
    </row>
    <row r="217" spans="1:12" x14ac:dyDescent="0.25">
      <c r="A217" s="59">
        <v>186</v>
      </c>
      <c r="B217" s="50">
        <v>109</v>
      </c>
      <c r="C217" s="50">
        <v>18</v>
      </c>
      <c r="D217" s="56">
        <v>0.58117640018463135</v>
      </c>
      <c r="E217" s="56">
        <v>0.41882359981536865</v>
      </c>
      <c r="F217" s="58">
        <v>1187.6517723798752</v>
      </c>
      <c r="G217" s="58">
        <v>13.075065383998625</v>
      </c>
      <c r="H217" s="27"/>
      <c r="I217" s="27"/>
      <c r="J217" s="27"/>
      <c r="K217" s="27"/>
      <c r="L217" s="27"/>
    </row>
    <row r="218" spans="1:12" x14ac:dyDescent="0.25">
      <c r="A218" s="59">
        <v>187</v>
      </c>
      <c r="B218" s="50">
        <v>25</v>
      </c>
      <c r="C218" s="50">
        <v>4</v>
      </c>
      <c r="D218" s="56">
        <v>0.20969897508621216</v>
      </c>
      <c r="E218" s="56">
        <v>0.79030102491378784</v>
      </c>
      <c r="F218" s="58">
        <v>279.7575256228447</v>
      </c>
      <c r="G218" s="58">
        <v>13.428361229896545</v>
      </c>
      <c r="H218" s="27"/>
      <c r="I218" s="27"/>
      <c r="J218" s="27"/>
      <c r="K218" s="27"/>
      <c r="L218" s="27"/>
    </row>
    <row r="219" spans="1:12" x14ac:dyDescent="0.25">
      <c r="A219" s="59">
        <v>188</v>
      </c>
      <c r="B219" s="50">
        <v>183</v>
      </c>
      <c r="C219" s="50">
        <v>30</v>
      </c>
      <c r="D219" s="56">
        <v>7.8708887100219727E-2</v>
      </c>
      <c r="E219" s="56">
        <v>0.92129111289978027</v>
      </c>
      <c r="F219" s="58">
        <v>2082.5962736606598</v>
      </c>
      <c r="G219" s="58">
        <v>13.656369007610884</v>
      </c>
      <c r="H219" s="27"/>
      <c r="I219" s="27"/>
      <c r="J219" s="27"/>
      <c r="K219" s="27"/>
      <c r="L219" s="27"/>
    </row>
    <row r="220" spans="1:12" x14ac:dyDescent="0.25">
      <c r="A220" s="59">
        <v>189</v>
      </c>
      <c r="B220" s="50">
        <v>217</v>
      </c>
      <c r="C220" s="50">
        <v>36</v>
      </c>
      <c r="D220" s="56">
        <v>0.89544624090194702</v>
      </c>
      <c r="E220" s="56">
        <v>0.10455375909805298</v>
      </c>
      <c r="F220" s="58">
        <v>2298.6881657242775</v>
      </c>
      <c r="G220" s="58">
        <v>12.711639626125036</v>
      </c>
      <c r="H220" s="27"/>
      <c r="I220" s="27"/>
      <c r="J220" s="27"/>
      <c r="K220" s="27"/>
      <c r="L220" s="27"/>
    </row>
    <row r="221" spans="1:12" x14ac:dyDescent="0.25">
      <c r="A221" s="59">
        <v>190</v>
      </c>
      <c r="B221" s="50">
        <v>35</v>
      </c>
      <c r="C221" s="50">
        <v>6</v>
      </c>
      <c r="D221" s="56">
        <v>0.11143290996551514</v>
      </c>
      <c r="E221" s="56">
        <v>0.88856709003448486</v>
      </c>
      <c r="F221" s="58">
        <v>401.09984815120697</v>
      </c>
      <c r="G221" s="58">
        <v>13.751994793755667</v>
      </c>
      <c r="H221" s="27"/>
      <c r="I221" s="27"/>
      <c r="J221" s="27"/>
      <c r="K221" s="27"/>
      <c r="L221" s="27"/>
    </row>
    <row r="222" spans="1:12" x14ac:dyDescent="0.25">
      <c r="A222" s="59">
        <v>191</v>
      </c>
      <c r="B222" s="50">
        <v>160</v>
      </c>
      <c r="C222" s="50">
        <v>27</v>
      </c>
      <c r="D222" s="56">
        <v>0.65237671136856079</v>
      </c>
      <c r="E222" s="56">
        <v>0.34762328863143921</v>
      </c>
      <c r="F222" s="58">
        <v>1740.6197261810303</v>
      </c>
      <c r="G222" s="58">
        <v>13.054647946357727</v>
      </c>
      <c r="H222" s="27"/>
      <c r="I222" s="27"/>
      <c r="J222" s="27"/>
      <c r="K222" s="27"/>
      <c r="L222" s="27"/>
    </row>
    <row r="223" spans="1:12" x14ac:dyDescent="0.25">
      <c r="A223" s="59">
        <v>192</v>
      </c>
      <c r="B223" s="50">
        <v>30</v>
      </c>
      <c r="C223" s="50">
        <v>5</v>
      </c>
      <c r="D223" s="56">
        <v>0.90033388137817383</v>
      </c>
      <c r="E223" s="56">
        <v>9.9666118621826172E-2</v>
      </c>
      <c r="F223" s="58">
        <v>317.98998355865479</v>
      </c>
      <c r="G223" s="58">
        <v>12.719599342346191</v>
      </c>
      <c r="H223" s="27"/>
      <c r="I223" s="27"/>
      <c r="J223" s="27"/>
      <c r="K223" s="27"/>
      <c r="L223" s="27"/>
    </row>
    <row r="224" spans="1:12" x14ac:dyDescent="0.25">
      <c r="A224" s="59">
        <v>193</v>
      </c>
      <c r="B224" s="50">
        <v>136</v>
      </c>
      <c r="C224" s="50">
        <v>23</v>
      </c>
      <c r="D224" s="56">
        <v>0.23159664869308472</v>
      </c>
      <c r="E224" s="56">
        <v>0.76840335130691528</v>
      </c>
      <c r="F224" s="58">
        <v>1537.5028557777405</v>
      </c>
      <c r="G224" s="58">
        <v>13.566201668627121</v>
      </c>
      <c r="H224" s="27"/>
      <c r="I224" s="27"/>
      <c r="J224" s="27"/>
      <c r="K224" s="27"/>
      <c r="L224" s="27"/>
    </row>
    <row r="225" spans="1:12" x14ac:dyDescent="0.25">
      <c r="A225" s="59">
        <v>194</v>
      </c>
      <c r="B225" s="50">
        <v>104</v>
      </c>
      <c r="C225" s="50">
        <v>17</v>
      </c>
      <c r="D225" s="56">
        <v>0.94990551471710205</v>
      </c>
      <c r="E225" s="56">
        <v>5.0094485282897949E-2</v>
      </c>
      <c r="F225" s="58">
        <v>1092.2098264694214</v>
      </c>
      <c r="G225" s="58">
        <v>12.60242107464717</v>
      </c>
      <c r="H225" s="27"/>
      <c r="I225" s="27"/>
      <c r="J225" s="27"/>
      <c r="K225" s="27"/>
      <c r="L225" s="27"/>
    </row>
    <row r="226" spans="1:12" x14ac:dyDescent="0.25">
      <c r="A226" s="59">
        <v>195</v>
      </c>
      <c r="B226" s="50">
        <v>145</v>
      </c>
      <c r="C226" s="50">
        <v>24</v>
      </c>
      <c r="D226" s="56">
        <v>0.84618741273880005</v>
      </c>
      <c r="E226" s="56">
        <v>0.15381258726119995</v>
      </c>
      <c r="F226" s="58">
        <v>1542.302825152874</v>
      </c>
      <c r="G226" s="58">
        <v>12.763885449541027</v>
      </c>
      <c r="H226" s="27"/>
      <c r="I226" s="27"/>
      <c r="J226" s="27"/>
      <c r="K226" s="27"/>
      <c r="L226" s="27"/>
    </row>
    <row r="227" spans="1:12" x14ac:dyDescent="0.25">
      <c r="A227" s="59">
        <v>196</v>
      </c>
      <c r="B227" s="50">
        <v>234</v>
      </c>
      <c r="C227" s="50">
        <v>39</v>
      </c>
      <c r="D227" s="56">
        <v>0.44121623039245605</v>
      </c>
      <c r="E227" s="56">
        <v>0.55878376960754395</v>
      </c>
      <c r="F227" s="58">
        <v>2587.7554020881653</v>
      </c>
      <c r="G227" s="58">
        <v>13.270540523529053</v>
      </c>
      <c r="H227" s="27"/>
      <c r="I227" s="27"/>
      <c r="J227" s="27"/>
      <c r="K227" s="27"/>
      <c r="L227" s="27"/>
    </row>
    <row r="228" spans="1:12" x14ac:dyDescent="0.25">
      <c r="A228" s="59">
        <v>197</v>
      </c>
      <c r="B228" s="50">
        <v>250</v>
      </c>
      <c r="C228" s="50">
        <v>42</v>
      </c>
      <c r="D228" s="56">
        <v>0.49200624227523804</v>
      </c>
      <c r="E228" s="56">
        <v>0.50799375772476196</v>
      </c>
      <c r="F228" s="58">
        <v>2756.9984394311905</v>
      </c>
      <c r="G228" s="58">
        <v>13.233592509269714</v>
      </c>
      <c r="H228" s="27"/>
      <c r="I228" s="27"/>
      <c r="J228" s="27"/>
      <c r="K228" s="27"/>
      <c r="L228" s="27"/>
    </row>
    <row r="229" spans="1:12" x14ac:dyDescent="0.25">
      <c r="A229" s="59">
        <v>198</v>
      </c>
      <c r="B229" s="50">
        <v>237</v>
      </c>
      <c r="C229" s="50">
        <v>40</v>
      </c>
      <c r="D229" s="56">
        <v>0.76950681209564209</v>
      </c>
      <c r="E229" s="56">
        <v>0.23049318790435791</v>
      </c>
      <c r="F229" s="58">
        <v>2550.6268855333328</v>
      </c>
      <c r="G229" s="58">
        <v>12.914566509029534</v>
      </c>
      <c r="H229" s="27"/>
      <c r="I229" s="27"/>
      <c r="J229" s="27"/>
      <c r="K229" s="27"/>
      <c r="L229" s="27"/>
    </row>
    <row r="230" spans="1:12" x14ac:dyDescent="0.25">
      <c r="A230" s="59">
        <v>199</v>
      </c>
      <c r="B230" s="50">
        <v>148</v>
      </c>
      <c r="C230" s="50">
        <v>25</v>
      </c>
      <c r="D230" s="56">
        <v>0.83489328622817993</v>
      </c>
      <c r="E230" s="56">
        <v>0.16510671377182007</v>
      </c>
      <c r="F230" s="58">
        <v>1583.4357936382294</v>
      </c>
      <c r="G230" s="58">
        <v>12.838668597066725</v>
      </c>
      <c r="H230" s="27"/>
      <c r="I230" s="27"/>
      <c r="J230" s="27"/>
      <c r="K230" s="27"/>
      <c r="L230" s="27"/>
    </row>
    <row r="231" spans="1:12" x14ac:dyDescent="0.25">
      <c r="A231" s="59">
        <v>200</v>
      </c>
      <c r="B231" s="50">
        <v>196</v>
      </c>
      <c r="C231" s="50">
        <v>33</v>
      </c>
      <c r="D231" s="56">
        <v>0.38256931304931641</v>
      </c>
      <c r="E231" s="56">
        <v>0.61743068695068359</v>
      </c>
      <c r="F231" s="58">
        <v>2184.016414642334</v>
      </c>
      <c r="G231" s="58">
        <v>13.371529069238779</v>
      </c>
      <c r="H231" s="27"/>
      <c r="I231" s="27"/>
      <c r="J231" s="27"/>
      <c r="K231" s="27"/>
      <c r="L231" s="27"/>
    </row>
  </sheetData>
  <sortState xmlns:xlrd2="http://schemas.microsoft.com/office/spreadsheetml/2017/richdata2" ref="K38:K58">
    <sortCondition ref="K38"/>
  </sortState>
  <mergeCells count="5">
    <mergeCell ref="A30:G30"/>
    <mergeCell ref="J36:L36"/>
    <mergeCell ref="A16:B16"/>
    <mergeCell ref="J16:Q16"/>
    <mergeCell ref="K17:Q1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FA47F-F68E-4475-BA74-7FCA44085562}">
  <sheetPr codeName="Sheet3"/>
  <dimension ref="A1:Q36"/>
  <sheetViews>
    <sheetView zoomScale="68" zoomScaleNormal="68" workbookViewId="0">
      <selection sqref="A1:A6"/>
    </sheetView>
  </sheetViews>
  <sheetFormatPr defaultRowHeight="15" x14ac:dyDescent="0.25"/>
  <cols>
    <col min="1" max="1" width="31.42578125" style="2" customWidth="1"/>
    <col min="2" max="2" width="15.28515625" bestFit="1" customWidth="1"/>
    <col min="3" max="3" width="15.5703125" bestFit="1" customWidth="1"/>
    <col min="4" max="4" width="21.28515625" customWidth="1"/>
    <col min="5" max="5" width="23.85546875" customWidth="1"/>
    <col min="6" max="6" width="10.42578125" bestFit="1" customWidth="1"/>
    <col min="7" max="7" width="9" bestFit="1" customWidth="1"/>
    <col min="8" max="8" width="15.85546875" customWidth="1"/>
    <col min="9" max="9" width="17.140625" customWidth="1"/>
    <col min="10" max="10" width="12.42578125" bestFit="1" customWidth="1"/>
  </cols>
  <sheetData>
    <row r="1" spans="1:17" ht="15.75" x14ac:dyDescent="0.25">
      <c r="A1" s="73" t="s">
        <v>109</v>
      </c>
      <c r="B1" s="4"/>
      <c r="C1" s="4"/>
      <c r="D1" s="5"/>
      <c r="E1" s="6"/>
      <c r="F1" s="6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5.75" x14ac:dyDescent="0.25">
      <c r="A2" s="74" t="s">
        <v>141</v>
      </c>
      <c r="B2" s="4"/>
      <c r="C2" s="4"/>
      <c r="D2" s="5"/>
      <c r="E2" s="6"/>
      <c r="F2" s="6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15.75" x14ac:dyDescent="0.25">
      <c r="A3" s="76" t="s">
        <v>142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</row>
    <row r="4" spans="1:17" ht="15.75" x14ac:dyDescent="0.25">
      <c r="A4" s="76" t="s">
        <v>143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</row>
    <row r="5" spans="1:17" ht="15.75" x14ac:dyDescent="0.25">
      <c r="A5" s="76" t="s">
        <v>145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17" ht="15.75" x14ac:dyDescent="0.25">
      <c r="A6" s="76" t="s">
        <v>144</v>
      </c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</row>
    <row r="9" spans="1:17" ht="18.75" x14ac:dyDescent="0.3">
      <c r="A9" s="77" t="s">
        <v>138</v>
      </c>
      <c r="B9" s="66"/>
      <c r="C9" s="66"/>
      <c r="D9" s="66"/>
      <c r="E9" s="66"/>
      <c r="F9" s="66"/>
      <c r="G9" s="66"/>
      <c r="H9" s="66"/>
      <c r="I9" s="66"/>
      <c r="J9" s="66"/>
    </row>
    <row r="10" spans="1:17" x14ac:dyDescent="0.25">
      <c r="A10" s="78" t="s">
        <v>124</v>
      </c>
      <c r="B10" s="42" t="s">
        <v>125</v>
      </c>
      <c r="C10" s="42" t="s">
        <v>126</v>
      </c>
      <c r="D10" s="42" t="s">
        <v>127</v>
      </c>
      <c r="E10" s="42" t="s">
        <v>128</v>
      </c>
      <c r="F10" s="42" t="s">
        <v>129</v>
      </c>
      <c r="G10" s="42" t="s">
        <v>137</v>
      </c>
      <c r="H10" s="42" t="s">
        <v>130</v>
      </c>
      <c r="I10" s="42" t="s">
        <v>140</v>
      </c>
      <c r="J10" s="42" t="s">
        <v>131</v>
      </c>
    </row>
    <row r="11" spans="1:17" x14ac:dyDescent="0.25">
      <c r="A11" s="79" t="s">
        <v>0</v>
      </c>
      <c r="B11" s="68">
        <v>10</v>
      </c>
      <c r="C11" s="44">
        <v>16</v>
      </c>
      <c r="D11" s="67">
        <v>6</v>
      </c>
      <c r="E11" s="68">
        <f>B11+D11</f>
        <v>16</v>
      </c>
      <c r="F11" s="68">
        <f>MIN(E11,C11)</f>
        <v>16</v>
      </c>
      <c r="G11" s="68">
        <f>C11-F11</f>
        <v>0</v>
      </c>
      <c r="H11" s="69">
        <v>6.9275999999999991</v>
      </c>
      <c r="I11" s="69">
        <v>5.9971960774824709</v>
      </c>
      <c r="J11" s="69">
        <v>132.779</v>
      </c>
      <c r="K11" s="13"/>
    </row>
    <row r="12" spans="1:17" x14ac:dyDescent="0.25">
      <c r="A12" s="79" t="s">
        <v>1</v>
      </c>
      <c r="B12" s="68">
        <v>23</v>
      </c>
      <c r="C12" s="44">
        <v>64</v>
      </c>
      <c r="D12" s="67">
        <v>40</v>
      </c>
      <c r="E12" s="68">
        <f t="shared" ref="E12:E24" si="0">B12+D12</f>
        <v>63</v>
      </c>
      <c r="F12" s="68">
        <f>MIN(E12,C12)</f>
        <v>63</v>
      </c>
      <c r="G12" s="68">
        <f t="shared" ref="G12:G24" si="1">C12-F12</f>
        <v>1</v>
      </c>
      <c r="H12" s="69">
        <v>8.68</v>
      </c>
      <c r="I12" s="69">
        <v>7.1672070327502553</v>
      </c>
      <c r="J12" s="69">
        <v>70.518000000000001</v>
      </c>
      <c r="K12" s="13"/>
    </row>
    <row r="13" spans="1:17" x14ac:dyDescent="0.25">
      <c r="A13" s="79" t="s">
        <v>2</v>
      </c>
      <c r="B13" s="68">
        <v>11</v>
      </c>
      <c r="C13" s="44">
        <v>20</v>
      </c>
      <c r="D13" s="67">
        <v>8</v>
      </c>
      <c r="E13" s="68">
        <f t="shared" si="0"/>
        <v>19</v>
      </c>
      <c r="F13" s="68">
        <f t="shared" ref="F13:F24" si="2">MIN(E13,C13)</f>
        <v>19</v>
      </c>
      <c r="G13" s="68">
        <f t="shared" si="1"/>
        <v>1</v>
      </c>
      <c r="H13" s="69">
        <v>5.5524000000000004</v>
      </c>
      <c r="I13" s="69">
        <v>4.4658421597302214</v>
      </c>
      <c r="J13" s="69">
        <v>106.42099999999999</v>
      </c>
      <c r="K13" s="13"/>
    </row>
    <row r="14" spans="1:17" x14ac:dyDescent="0.25">
      <c r="A14" s="79" t="s">
        <v>3</v>
      </c>
      <c r="B14" s="68">
        <v>14</v>
      </c>
      <c r="C14" s="44">
        <v>23</v>
      </c>
      <c r="D14" s="67">
        <v>0</v>
      </c>
      <c r="E14" s="68">
        <f t="shared" si="0"/>
        <v>14</v>
      </c>
      <c r="F14" s="68">
        <f t="shared" si="2"/>
        <v>14</v>
      </c>
      <c r="G14" s="68">
        <f t="shared" si="1"/>
        <v>9</v>
      </c>
      <c r="H14" s="69">
        <v>5.1486000000000001</v>
      </c>
      <c r="I14" s="69">
        <v>2.4525340020219519</v>
      </c>
      <c r="J14" s="69">
        <v>98.6815</v>
      </c>
      <c r="K14" s="13"/>
    </row>
    <row r="15" spans="1:17" x14ac:dyDescent="0.25">
      <c r="A15" s="79" t="s">
        <v>4</v>
      </c>
      <c r="B15" s="68">
        <v>18</v>
      </c>
      <c r="C15" s="44">
        <v>21</v>
      </c>
      <c r="D15" s="67">
        <v>0</v>
      </c>
      <c r="E15" s="68">
        <f t="shared" si="0"/>
        <v>18</v>
      </c>
      <c r="F15" s="68">
        <f t="shared" si="2"/>
        <v>18</v>
      </c>
      <c r="G15" s="68">
        <f t="shared" si="1"/>
        <v>3</v>
      </c>
      <c r="H15" s="69">
        <v>9.84</v>
      </c>
      <c r="I15" s="69">
        <v>7.0212156748873218</v>
      </c>
      <c r="J15" s="69">
        <v>73.62299999999999</v>
      </c>
      <c r="K15" s="13"/>
    </row>
    <row r="16" spans="1:17" x14ac:dyDescent="0.25">
      <c r="A16" s="79" t="s">
        <v>5</v>
      </c>
      <c r="B16" s="68">
        <v>25</v>
      </c>
      <c r="C16" s="44">
        <v>56</v>
      </c>
      <c r="D16" s="67">
        <v>31</v>
      </c>
      <c r="E16" s="68">
        <f t="shared" si="0"/>
        <v>56</v>
      </c>
      <c r="F16" s="68">
        <f t="shared" si="2"/>
        <v>56</v>
      </c>
      <c r="G16" s="68">
        <f t="shared" si="1"/>
        <v>0</v>
      </c>
      <c r="H16" s="69">
        <v>7.1993999999999998</v>
      </c>
      <c r="I16" s="69">
        <v>5.9546614260326063</v>
      </c>
      <c r="J16" s="69">
        <v>137.98849999999999</v>
      </c>
      <c r="K16" s="13"/>
    </row>
    <row r="17" spans="1:11" x14ac:dyDescent="0.25">
      <c r="A17" s="79" t="s">
        <v>6</v>
      </c>
      <c r="B17" s="68">
        <v>9</v>
      </c>
      <c r="C17" s="44">
        <v>17</v>
      </c>
      <c r="D17" s="67">
        <v>4</v>
      </c>
      <c r="E17" s="68">
        <f t="shared" si="0"/>
        <v>13</v>
      </c>
      <c r="F17" s="68">
        <f t="shared" si="2"/>
        <v>13</v>
      </c>
      <c r="G17" s="68">
        <f t="shared" si="1"/>
        <v>4</v>
      </c>
      <c r="H17" s="69">
        <v>12.6</v>
      </c>
      <c r="I17" s="69">
        <v>11.149754150222947</v>
      </c>
      <c r="J17" s="69">
        <v>69.069000000000003</v>
      </c>
      <c r="K17" s="13"/>
    </row>
    <row r="18" spans="1:11" x14ac:dyDescent="0.25">
      <c r="A18" s="79" t="s">
        <v>7</v>
      </c>
      <c r="B18" s="68">
        <v>8</v>
      </c>
      <c r="C18" s="44">
        <v>14</v>
      </c>
      <c r="D18" s="67">
        <v>6</v>
      </c>
      <c r="E18" s="68">
        <f t="shared" si="0"/>
        <v>14</v>
      </c>
      <c r="F18" s="68">
        <f t="shared" si="2"/>
        <v>14</v>
      </c>
      <c r="G18" s="68">
        <f t="shared" si="1"/>
        <v>0</v>
      </c>
      <c r="H18" s="69">
        <v>6.9774000000000003</v>
      </c>
      <c r="I18" s="69">
        <v>5.9749189079688731</v>
      </c>
      <c r="J18" s="69">
        <v>133.73349999999999</v>
      </c>
      <c r="K18" s="13"/>
    </row>
    <row r="19" spans="1:11" x14ac:dyDescent="0.25">
      <c r="A19" s="79" t="s">
        <v>8</v>
      </c>
      <c r="B19" s="68">
        <v>23</v>
      </c>
      <c r="C19" s="44">
        <v>59</v>
      </c>
      <c r="D19" s="67">
        <v>36</v>
      </c>
      <c r="E19" s="68">
        <f t="shared" si="0"/>
        <v>59</v>
      </c>
      <c r="F19" s="68">
        <f t="shared" si="2"/>
        <v>59</v>
      </c>
      <c r="G19" s="68">
        <f t="shared" si="1"/>
        <v>0</v>
      </c>
      <c r="H19" s="69">
        <v>4.8143999999999991</v>
      </c>
      <c r="I19" s="69">
        <v>4.1017885583697247</v>
      </c>
      <c r="J19" s="69">
        <v>92.275999999999982</v>
      </c>
      <c r="K19" s="13"/>
    </row>
    <row r="20" spans="1:11" x14ac:dyDescent="0.25">
      <c r="A20" s="79" t="s">
        <v>9</v>
      </c>
      <c r="B20" s="68">
        <v>12</v>
      </c>
      <c r="C20" s="44">
        <v>30</v>
      </c>
      <c r="D20" s="67">
        <v>18</v>
      </c>
      <c r="E20" s="68">
        <f t="shared" si="0"/>
        <v>30</v>
      </c>
      <c r="F20" s="68">
        <f t="shared" si="2"/>
        <v>30</v>
      </c>
      <c r="G20" s="68">
        <f t="shared" si="1"/>
        <v>0</v>
      </c>
      <c r="H20" s="69">
        <v>11.59</v>
      </c>
      <c r="I20" s="69">
        <v>10.36155552273099</v>
      </c>
      <c r="J20" s="69">
        <v>88.009499999999989</v>
      </c>
      <c r="K20" s="13"/>
    </row>
    <row r="21" spans="1:11" x14ac:dyDescent="0.25">
      <c r="A21" s="79" t="s">
        <v>10</v>
      </c>
      <c r="B21" s="68">
        <v>16</v>
      </c>
      <c r="C21" s="44">
        <v>25</v>
      </c>
      <c r="D21" s="67">
        <v>5</v>
      </c>
      <c r="E21" s="68">
        <f t="shared" si="0"/>
        <v>21</v>
      </c>
      <c r="F21" s="68">
        <f t="shared" si="2"/>
        <v>21</v>
      </c>
      <c r="G21" s="68">
        <f t="shared" si="1"/>
        <v>4</v>
      </c>
      <c r="H21" s="69">
        <v>5.7581999999999995</v>
      </c>
      <c r="I21" s="69">
        <v>3.0054661898674997</v>
      </c>
      <c r="J21" s="69">
        <v>110.3655</v>
      </c>
      <c r="K21" s="13"/>
    </row>
    <row r="22" spans="1:11" x14ac:dyDescent="0.25">
      <c r="A22" s="79" t="s">
        <v>11</v>
      </c>
      <c r="B22" s="68">
        <v>25</v>
      </c>
      <c r="C22" s="44">
        <v>55</v>
      </c>
      <c r="D22" s="67">
        <v>30</v>
      </c>
      <c r="E22" s="68">
        <f t="shared" si="0"/>
        <v>55</v>
      </c>
      <c r="F22" s="68">
        <f t="shared" si="2"/>
        <v>55</v>
      </c>
      <c r="G22" s="68">
        <f t="shared" si="1"/>
        <v>0</v>
      </c>
      <c r="H22" s="69">
        <v>13.8</v>
      </c>
      <c r="I22" s="69">
        <v>13.753916952391979</v>
      </c>
      <c r="J22" s="69">
        <v>129.97299999999998</v>
      </c>
      <c r="K22" s="13"/>
    </row>
    <row r="23" spans="1:11" x14ac:dyDescent="0.25">
      <c r="A23" s="79" t="s">
        <v>12</v>
      </c>
      <c r="B23" s="68">
        <v>24</v>
      </c>
      <c r="C23" s="44">
        <v>61</v>
      </c>
      <c r="D23" s="67">
        <v>37</v>
      </c>
      <c r="E23" s="68">
        <f t="shared" si="0"/>
        <v>61</v>
      </c>
      <c r="F23" s="68">
        <f t="shared" si="2"/>
        <v>61</v>
      </c>
      <c r="G23" s="68">
        <f t="shared" si="1"/>
        <v>0</v>
      </c>
      <c r="H23" s="69">
        <v>4.3943999999999992</v>
      </c>
      <c r="I23" s="69">
        <v>2.881464090496447</v>
      </c>
      <c r="J23" s="69">
        <v>84.225999999999985</v>
      </c>
      <c r="K23" s="13"/>
    </row>
    <row r="24" spans="1:11" x14ac:dyDescent="0.25">
      <c r="A24" s="79" t="s">
        <v>13</v>
      </c>
      <c r="B24" s="68">
        <v>27</v>
      </c>
      <c r="C24" s="44">
        <v>55</v>
      </c>
      <c r="D24" s="67">
        <v>28</v>
      </c>
      <c r="E24" s="68">
        <f t="shared" si="0"/>
        <v>55</v>
      </c>
      <c r="F24" s="68">
        <f t="shared" si="2"/>
        <v>55</v>
      </c>
      <c r="G24" s="68">
        <f t="shared" si="1"/>
        <v>0</v>
      </c>
      <c r="H24" s="69">
        <v>5.4438000000000004</v>
      </c>
      <c r="I24" s="69">
        <v>2.935420867153828</v>
      </c>
      <c r="J24" s="69">
        <v>104.3395</v>
      </c>
      <c r="K24" s="13"/>
    </row>
    <row r="26" spans="1:11" x14ac:dyDescent="0.25">
      <c r="H26" s="70" t="s">
        <v>132</v>
      </c>
      <c r="I26" s="70" t="s">
        <v>139</v>
      </c>
      <c r="J26" s="42" t="s">
        <v>133</v>
      </c>
    </row>
    <row r="27" spans="1:11" x14ac:dyDescent="0.25">
      <c r="H27" s="71">
        <f>SUMPRODUCT(Order_Quantity,Order_Cost)</f>
        <v>1888.3791999999999</v>
      </c>
      <c r="I27" s="71">
        <f>SUMPRODUCT(Lost_Sales,Lost_Sales_Cost)</f>
        <v>111.39038359570179</v>
      </c>
      <c r="J27" s="71">
        <f>SUMPRODUCT(Actual_Sales,Sales_Price)</f>
        <v>50220.591999999997</v>
      </c>
    </row>
    <row r="29" spans="1:11" x14ac:dyDescent="0.25">
      <c r="H29" s="42" t="s">
        <v>134</v>
      </c>
      <c r="I29" s="70" t="s">
        <v>135</v>
      </c>
      <c r="J29" s="42" t="s">
        <v>136</v>
      </c>
    </row>
    <row r="30" spans="1:11" x14ac:dyDescent="0.25">
      <c r="H30" s="71">
        <f>SUM(H27:I27)</f>
        <v>1999.7695835957015</v>
      </c>
      <c r="I30" s="69">
        <v>2000</v>
      </c>
      <c r="J30" s="72">
        <f>Total_Revenue-Total_Costs</f>
        <v>48220.822416404299</v>
      </c>
    </row>
    <row r="36" spans="10:10" x14ac:dyDescent="0.25">
      <c r="J36" s="8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157A2-5BEB-4AEE-95A8-66BF68285C30}">
  <sheetPr codeName="Sheet5"/>
  <dimension ref="A1:Q25"/>
  <sheetViews>
    <sheetView zoomScale="84" zoomScaleNormal="84" workbookViewId="0">
      <selection sqref="A1:A5"/>
    </sheetView>
  </sheetViews>
  <sheetFormatPr defaultRowHeight="15" x14ac:dyDescent="0.25"/>
  <cols>
    <col min="1" max="1" width="16.5703125" style="2" customWidth="1"/>
    <col min="2" max="2" width="12.140625" bestFit="1" customWidth="1"/>
    <col min="3" max="3" width="13" bestFit="1" customWidth="1"/>
    <col min="4" max="4" width="13.5703125" bestFit="1" customWidth="1"/>
    <col min="5" max="5" width="10.42578125" bestFit="1" customWidth="1"/>
    <col min="6" max="6" width="15" bestFit="1" customWidth="1"/>
  </cols>
  <sheetData>
    <row r="1" spans="1:17" ht="15.75" x14ac:dyDescent="0.25">
      <c r="A1" s="73" t="s">
        <v>111</v>
      </c>
      <c r="B1" s="4"/>
      <c r="C1" s="4"/>
      <c r="D1" s="5"/>
      <c r="E1" s="6"/>
      <c r="F1" s="6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15.75" x14ac:dyDescent="0.25">
      <c r="A2" s="74" t="s">
        <v>242</v>
      </c>
      <c r="B2" s="4"/>
      <c r="C2" s="4"/>
      <c r="D2" s="5"/>
      <c r="E2" s="6"/>
      <c r="F2" s="6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15.75" x14ac:dyDescent="0.25">
      <c r="A3" s="76" t="s">
        <v>243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</row>
    <row r="4" spans="1:17" ht="15.75" x14ac:dyDescent="0.25">
      <c r="A4" s="76" t="s">
        <v>244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</row>
    <row r="5" spans="1:17" ht="15.75" x14ac:dyDescent="0.25">
      <c r="A5" s="76" t="s">
        <v>245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8" spans="1:17" ht="18.75" x14ac:dyDescent="0.3">
      <c r="A8" s="77" t="s">
        <v>241</v>
      </c>
      <c r="B8" s="66"/>
      <c r="C8" s="66"/>
      <c r="D8" s="66"/>
      <c r="E8" s="66"/>
      <c r="F8" s="66"/>
    </row>
    <row r="9" spans="1:17" x14ac:dyDescent="0.25">
      <c r="A9" s="78" t="s">
        <v>146</v>
      </c>
      <c r="B9" s="42" t="s">
        <v>147</v>
      </c>
      <c r="C9" s="42" t="s">
        <v>148</v>
      </c>
      <c r="D9" s="42" t="s">
        <v>149</v>
      </c>
      <c r="E9" s="42" t="s">
        <v>150</v>
      </c>
      <c r="F9" s="42" t="s">
        <v>151</v>
      </c>
    </row>
    <row r="10" spans="1:17" x14ac:dyDescent="0.25">
      <c r="A10" s="79" t="s">
        <v>159</v>
      </c>
      <c r="B10" s="67">
        <v>1</v>
      </c>
      <c r="C10" s="81">
        <v>45000</v>
      </c>
      <c r="D10" s="71">
        <f>B10*C10</f>
        <v>45000</v>
      </c>
      <c r="E10" s="82">
        <v>0.8</v>
      </c>
      <c r="F10" s="83">
        <v>0.15</v>
      </c>
    </row>
    <row r="11" spans="1:17" x14ac:dyDescent="0.25">
      <c r="A11" s="79" t="s">
        <v>160</v>
      </c>
      <c r="B11" s="67">
        <v>1</v>
      </c>
      <c r="C11" s="81">
        <v>45000</v>
      </c>
      <c r="D11" s="71">
        <f t="shared" ref="D11:D20" si="0">B11*C11</f>
        <v>45000</v>
      </c>
      <c r="E11" s="82">
        <v>0.55555555555555558</v>
      </c>
      <c r="F11" s="83">
        <v>0.33333333333333331</v>
      </c>
    </row>
    <row r="12" spans="1:17" x14ac:dyDescent="0.25">
      <c r="A12" s="79" t="s">
        <v>161</v>
      </c>
      <c r="B12" s="67">
        <v>1</v>
      </c>
      <c r="C12" s="81">
        <v>45000</v>
      </c>
      <c r="D12" s="71">
        <f t="shared" si="0"/>
        <v>45000</v>
      </c>
      <c r="E12" s="82">
        <v>0.63749999999999996</v>
      </c>
      <c r="F12" s="83">
        <v>0.28749999999999998</v>
      </c>
    </row>
    <row r="13" spans="1:17" x14ac:dyDescent="0.25">
      <c r="A13" s="79" t="s">
        <v>162</v>
      </c>
      <c r="B13" s="67">
        <v>0</v>
      </c>
      <c r="C13" s="81">
        <v>2500</v>
      </c>
      <c r="D13" s="71">
        <f t="shared" si="0"/>
        <v>0</v>
      </c>
      <c r="E13" s="82">
        <v>0.4</v>
      </c>
      <c r="F13" s="83">
        <v>0.47199999999999998</v>
      </c>
    </row>
    <row r="14" spans="1:17" x14ac:dyDescent="0.25">
      <c r="A14" s="79" t="s">
        <v>163</v>
      </c>
      <c r="B14" s="67">
        <v>1</v>
      </c>
      <c r="C14" s="81">
        <v>45000</v>
      </c>
      <c r="D14" s="71">
        <f t="shared" si="0"/>
        <v>45000</v>
      </c>
      <c r="E14" s="82">
        <v>0.75</v>
      </c>
      <c r="F14" s="83">
        <v>0.25</v>
      </c>
    </row>
    <row r="15" spans="1:17" x14ac:dyDescent="0.25">
      <c r="A15" s="79" t="s">
        <v>164</v>
      </c>
      <c r="B15" s="67">
        <v>0</v>
      </c>
      <c r="C15" s="81">
        <v>2500</v>
      </c>
      <c r="D15" s="71">
        <f t="shared" si="0"/>
        <v>0</v>
      </c>
      <c r="E15" s="82">
        <v>0.33300000000000002</v>
      </c>
      <c r="F15" s="83">
        <v>0.627</v>
      </c>
    </row>
    <row r="16" spans="1:17" x14ac:dyDescent="0.25">
      <c r="A16" s="79" t="s">
        <v>165</v>
      </c>
      <c r="B16" s="67">
        <v>1</v>
      </c>
      <c r="C16" s="81">
        <v>2500</v>
      </c>
      <c r="D16" s="71">
        <f t="shared" si="0"/>
        <v>2500</v>
      </c>
      <c r="E16" s="82">
        <v>0.45945945945945948</v>
      </c>
      <c r="F16" s="83">
        <v>0.45945945945945948</v>
      </c>
    </row>
    <row r="17" spans="1:6" x14ac:dyDescent="0.25">
      <c r="A17" s="79" t="s">
        <v>166</v>
      </c>
      <c r="B17" s="67">
        <v>1</v>
      </c>
      <c r="C17" s="81">
        <v>45000</v>
      </c>
      <c r="D17" s="71">
        <f t="shared" si="0"/>
        <v>45000</v>
      </c>
      <c r="E17" s="82">
        <v>0.47368421052631576</v>
      </c>
      <c r="F17" s="83">
        <v>0.26315789473684209</v>
      </c>
    </row>
    <row r="18" spans="1:6" x14ac:dyDescent="0.25">
      <c r="A18" s="79" t="s">
        <v>167</v>
      </c>
      <c r="B18" s="67">
        <v>0</v>
      </c>
      <c r="C18" s="81">
        <v>2500</v>
      </c>
      <c r="D18" s="71">
        <f t="shared" si="0"/>
        <v>0</v>
      </c>
      <c r="E18" s="82">
        <v>0.23</v>
      </c>
      <c r="F18" s="83">
        <v>0.3888888888888889</v>
      </c>
    </row>
    <row r="19" spans="1:6" x14ac:dyDescent="0.25">
      <c r="A19" s="79" t="s">
        <v>168</v>
      </c>
      <c r="B19" s="67">
        <v>0</v>
      </c>
      <c r="C19" s="81">
        <v>2500</v>
      </c>
      <c r="D19" s="71">
        <f t="shared" si="0"/>
        <v>0</v>
      </c>
      <c r="E19" s="82">
        <v>0.42857142857142855</v>
      </c>
      <c r="F19" s="83">
        <v>0.5714285714285714</v>
      </c>
    </row>
    <row r="20" spans="1:6" x14ac:dyDescent="0.25">
      <c r="A20" s="79" t="s">
        <v>169</v>
      </c>
      <c r="B20" s="67">
        <v>1</v>
      </c>
      <c r="C20" s="81">
        <v>45000</v>
      </c>
      <c r="D20" s="71">
        <f t="shared" si="0"/>
        <v>45000</v>
      </c>
      <c r="E20" s="82">
        <v>0.8</v>
      </c>
      <c r="F20" s="83">
        <v>0.2</v>
      </c>
    </row>
    <row r="21" spans="1:6" x14ac:dyDescent="0.25">
      <c r="C21" s="13"/>
      <c r="D21" s="13"/>
    </row>
    <row r="22" spans="1:6" x14ac:dyDescent="0.25">
      <c r="B22" s="42" t="s">
        <v>152</v>
      </c>
      <c r="C22" s="42" t="s">
        <v>153</v>
      </c>
      <c r="D22" s="42" t="s">
        <v>154</v>
      </c>
      <c r="F22" s="84" t="s">
        <v>157</v>
      </c>
    </row>
    <row r="23" spans="1:6" x14ac:dyDescent="0.25">
      <c r="B23" s="68">
        <f>SUM(Selected)</f>
        <v>7</v>
      </c>
      <c r="C23" s="69">
        <v>2500</v>
      </c>
      <c r="D23" s="71">
        <f>SUM(Investment)</f>
        <v>272500</v>
      </c>
      <c r="F23" s="72">
        <f>SUMPRODUCT(Return_Rate,Investment)-SUMPRODUCT(Risk_Rate,Investment)</f>
        <v>113973.68421052632</v>
      </c>
    </row>
    <row r="24" spans="1:6" x14ac:dyDescent="0.25">
      <c r="B24" s="42" t="s">
        <v>155</v>
      </c>
      <c r="C24" s="42" t="s">
        <v>156</v>
      </c>
      <c r="D24" s="42" t="s">
        <v>135</v>
      </c>
      <c r="F24" s="84" t="s">
        <v>158</v>
      </c>
    </row>
    <row r="25" spans="1:6" x14ac:dyDescent="0.25">
      <c r="B25" s="44">
        <v>5</v>
      </c>
      <c r="C25" s="69">
        <v>45000</v>
      </c>
      <c r="D25" s="69">
        <v>300000</v>
      </c>
      <c r="F25" s="72">
        <f>SUMPRODUCT(Risk_Rate,Investment)</f>
        <v>67928.253911806532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C58D1-726C-41D9-AAAA-51E42D0EBD6D}">
  <sheetPr codeName="Sheet6"/>
  <dimension ref="A1:S27"/>
  <sheetViews>
    <sheetView topLeftCell="A19" zoomScale="73" zoomScaleNormal="73" workbookViewId="0"/>
  </sheetViews>
  <sheetFormatPr defaultRowHeight="15" x14ac:dyDescent="0.25"/>
  <cols>
    <col min="1" max="1" width="16.140625" style="2" customWidth="1"/>
    <col min="5" max="5" width="10.85546875" bestFit="1" customWidth="1"/>
    <col min="6" max="6" width="12.140625" bestFit="1" customWidth="1"/>
    <col min="8" max="8" width="15.85546875" bestFit="1" customWidth="1"/>
    <col min="9" max="9" width="13.140625" customWidth="1"/>
    <col min="10" max="11" width="10" customWidth="1"/>
  </cols>
  <sheetData>
    <row r="1" spans="1:19" ht="15.75" x14ac:dyDescent="0.25">
      <c r="A1" s="73" t="s">
        <v>112</v>
      </c>
      <c r="B1" s="4"/>
      <c r="C1" s="4"/>
      <c r="D1" s="4"/>
      <c r="E1" s="5"/>
      <c r="F1" s="6"/>
      <c r="G1" s="6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 ht="15.75" x14ac:dyDescent="0.25">
      <c r="A2" s="74" t="s">
        <v>187</v>
      </c>
      <c r="B2" s="4"/>
      <c r="C2" s="4"/>
      <c r="D2" s="4"/>
      <c r="E2" s="5"/>
      <c r="F2" s="6"/>
      <c r="G2" s="6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ht="15.75" x14ac:dyDescent="0.25">
      <c r="A3" s="76" t="s">
        <v>188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</row>
    <row r="4" spans="1:19" ht="15.75" x14ac:dyDescent="0.25">
      <c r="A4" s="76" t="s">
        <v>189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</row>
    <row r="5" spans="1:19" ht="15.75" x14ac:dyDescent="0.25">
      <c r="A5" s="75" t="s">
        <v>190</v>
      </c>
      <c r="B5" s="20"/>
      <c r="C5" s="20"/>
      <c r="D5" s="20"/>
      <c r="E5" s="21"/>
      <c r="F5" s="22"/>
      <c r="G5" s="22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ht="15.75" x14ac:dyDescent="0.25">
      <c r="A6" s="76" t="s">
        <v>240</v>
      </c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</row>
    <row r="7" spans="1:19" ht="15.75" x14ac:dyDescent="0.25">
      <c r="A7" s="89" t="s">
        <v>192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</row>
    <row r="8" spans="1:19" ht="15.75" x14ac:dyDescent="0.25">
      <c r="A8" s="89" t="s">
        <v>193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</row>
    <row r="9" spans="1:19" ht="15.75" x14ac:dyDescent="0.25">
      <c r="A9" s="89" t="s">
        <v>194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</row>
    <row r="10" spans="1:19" ht="15.75" x14ac:dyDescent="0.25">
      <c r="A10" s="89" t="s">
        <v>195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</row>
    <row r="15" spans="1:19" x14ac:dyDescent="0.25">
      <c r="A15" s="88" t="s">
        <v>191</v>
      </c>
      <c r="B15" s="86"/>
      <c r="C15" s="86"/>
      <c r="D15" s="86"/>
      <c r="E15" s="86"/>
      <c r="F15" s="86"/>
      <c r="G15" s="86"/>
      <c r="H15" s="86"/>
      <c r="I15" s="86"/>
      <c r="J15" s="86"/>
      <c r="K15" s="86"/>
    </row>
    <row r="16" spans="1:19" x14ac:dyDescent="0.25">
      <c r="A16" s="78" t="s">
        <v>170</v>
      </c>
      <c r="B16" s="42" t="s">
        <v>184</v>
      </c>
      <c r="C16" s="42" t="s">
        <v>185</v>
      </c>
      <c r="D16" s="42" t="s">
        <v>186</v>
      </c>
      <c r="E16" s="42" t="s">
        <v>171</v>
      </c>
      <c r="F16" s="42" t="s">
        <v>172</v>
      </c>
      <c r="H16" s="87" t="s">
        <v>183</v>
      </c>
      <c r="I16" s="42" t="s">
        <v>184</v>
      </c>
      <c r="J16" s="42" t="s">
        <v>185</v>
      </c>
      <c r="K16" s="42" t="s">
        <v>186</v>
      </c>
    </row>
    <row r="17" spans="1:11" x14ac:dyDescent="0.25">
      <c r="A17" s="79" t="s">
        <v>175</v>
      </c>
      <c r="B17" s="67">
        <v>304</v>
      </c>
      <c r="C17" s="67">
        <v>0</v>
      </c>
      <c r="D17" s="67">
        <v>0</v>
      </c>
      <c r="E17" s="68">
        <f>SUM(B17:D17)</f>
        <v>304</v>
      </c>
      <c r="F17" s="44">
        <v>304</v>
      </c>
      <c r="H17" s="79" t="s">
        <v>175</v>
      </c>
      <c r="I17" s="69">
        <v>5.9401641486542989</v>
      </c>
      <c r="J17" s="69">
        <v>8.1164743614784438</v>
      </c>
      <c r="K17" s="69">
        <v>22.617240881912583</v>
      </c>
    </row>
    <row r="18" spans="1:11" x14ac:dyDescent="0.25">
      <c r="A18" s="79" t="s">
        <v>176</v>
      </c>
      <c r="B18" s="67">
        <v>0</v>
      </c>
      <c r="C18" s="67">
        <v>184</v>
      </c>
      <c r="D18" s="67">
        <v>0</v>
      </c>
      <c r="E18" s="68">
        <f t="shared" ref="E18:E24" si="0">SUM(B18:D18)</f>
        <v>184</v>
      </c>
      <c r="F18" s="44">
        <v>184</v>
      </c>
      <c r="H18" s="79" t="s">
        <v>176</v>
      </c>
      <c r="I18" s="69">
        <v>6.2572608587895173</v>
      </c>
      <c r="J18" s="69">
        <v>5.2471428680481065</v>
      </c>
      <c r="K18" s="69">
        <v>10.631956526085116</v>
      </c>
    </row>
    <row r="19" spans="1:11" x14ac:dyDescent="0.25">
      <c r="A19" s="79" t="s">
        <v>177</v>
      </c>
      <c r="B19" s="67">
        <v>0</v>
      </c>
      <c r="C19" s="67">
        <v>127</v>
      </c>
      <c r="D19" s="67">
        <v>13</v>
      </c>
      <c r="E19" s="68">
        <f t="shared" si="0"/>
        <v>140</v>
      </c>
      <c r="F19" s="44">
        <v>140</v>
      </c>
      <c r="H19" s="79" t="s">
        <v>177</v>
      </c>
      <c r="I19" s="69">
        <v>8.3762035835570749</v>
      </c>
      <c r="J19" s="69">
        <v>6.3174537158960522</v>
      </c>
      <c r="K19" s="69">
        <v>10.015637597664274</v>
      </c>
    </row>
    <row r="20" spans="1:11" x14ac:dyDescent="0.25">
      <c r="A20" s="79" t="s">
        <v>178</v>
      </c>
      <c r="B20" s="67">
        <v>0</v>
      </c>
      <c r="C20" s="67">
        <v>0</v>
      </c>
      <c r="D20" s="67">
        <v>110</v>
      </c>
      <c r="E20" s="68">
        <f t="shared" si="0"/>
        <v>110</v>
      </c>
      <c r="F20" s="44">
        <v>110</v>
      </c>
      <c r="H20" s="79" t="s">
        <v>178</v>
      </c>
      <c r="I20" s="69">
        <v>9.5744589708742449</v>
      </c>
      <c r="J20" s="69">
        <v>7.2997615128860769</v>
      </c>
      <c r="K20" s="69">
        <v>10.162869240119381</v>
      </c>
    </row>
    <row r="21" spans="1:11" x14ac:dyDescent="0.25">
      <c r="A21" s="79" t="s">
        <v>179</v>
      </c>
      <c r="B21" s="67">
        <v>0</v>
      </c>
      <c r="C21" s="67">
        <v>0</v>
      </c>
      <c r="D21" s="67">
        <v>169</v>
      </c>
      <c r="E21" s="68">
        <f t="shared" si="0"/>
        <v>169</v>
      </c>
      <c r="F21" s="44">
        <v>169</v>
      </c>
      <c r="H21" s="79" t="s">
        <v>179</v>
      </c>
      <c r="I21" s="69">
        <v>18.931741239841266</v>
      </c>
      <c r="J21" s="69">
        <v>18.300085355526491</v>
      </c>
      <c r="K21" s="69">
        <v>4.8082369051420306</v>
      </c>
    </row>
    <row r="22" spans="1:11" x14ac:dyDescent="0.25">
      <c r="A22" s="79" t="s">
        <v>180</v>
      </c>
      <c r="B22" s="67">
        <v>0</v>
      </c>
      <c r="C22" s="67">
        <v>0</v>
      </c>
      <c r="D22" s="67">
        <v>236</v>
      </c>
      <c r="E22" s="68">
        <f t="shared" si="0"/>
        <v>236</v>
      </c>
      <c r="F22" s="44">
        <v>236</v>
      </c>
      <c r="H22" s="79" t="s">
        <v>180</v>
      </c>
      <c r="I22" s="69">
        <v>13.697641768926829</v>
      </c>
      <c r="J22" s="69">
        <v>12.530659246048618</v>
      </c>
      <c r="K22" s="69">
        <v>3.1837495774252043</v>
      </c>
    </row>
    <row r="23" spans="1:11" x14ac:dyDescent="0.25">
      <c r="A23" s="79" t="s">
        <v>181</v>
      </c>
      <c r="B23" s="67">
        <v>196</v>
      </c>
      <c r="C23" s="67">
        <v>89</v>
      </c>
      <c r="D23" s="67">
        <v>0</v>
      </c>
      <c r="E23" s="68">
        <f t="shared" si="0"/>
        <v>285</v>
      </c>
      <c r="F23" s="44">
        <v>285</v>
      </c>
      <c r="H23" s="79" t="s">
        <v>181</v>
      </c>
      <c r="I23" s="69">
        <v>3.6610957497215137</v>
      </c>
      <c r="J23" s="69">
        <v>4.7129459619547545</v>
      </c>
      <c r="K23" s="69">
        <v>14.145432280933955</v>
      </c>
    </row>
    <row r="24" spans="1:11" x14ac:dyDescent="0.25">
      <c r="A24" s="79" t="s">
        <v>182</v>
      </c>
      <c r="B24" s="67">
        <v>0</v>
      </c>
      <c r="C24" s="67">
        <v>0</v>
      </c>
      <c r="D24" s="67">
        <v>366</v>
      </c>
      <c r="E24" s="68">
        <f t="shared" si="0"/>
        <v>366</v>
      </c>
      <c r="F24" s="44">
        <v>366</v>
      </c>
      <c r="H24" s="79" t="s">
        <v>182</v>
      </c>
      <c r="I24" s="69">
        <v>9.419750861360658</v>
      </c>
      <c r="J24" s="69">
        <v>8.212288296292602</v>
      </c>
      <c r="K24" s="69">
        <v>7.4876023358003225</v>
      </c>
    </row>
    <row r="26" spans="1:11" x14ac:dyDescent="0.25">
      <c r="A26" s="78" t="s">
        <v>173</v>
      </c>
      <c r="B26" s="68">
        <f>SUM(B17:B24)</f>
        <v>500</v>
      </c>
      <c r="C26" s="68">
        <f>SUM(C17:C24)</f>
        <v>400</v>
      </c>
      <c r="D26" s="68">
        <f>SUM(D17:D24)</f>
        <v>894</v>
      </c>
      <c r="H26" s="42" t="s">
        <v>80</v>
      </c>
      <c r="I26" s="72">
        <f>SUMPRODUCT(ShipDV,ShipCost)</f>
        <v>10263.166065716983</v>
      </c>
    </row>
    <row r="27" spans="1:11" x14ac:dyDescent="0.25">
      <c r="A27" s="78" t="s">
        <v>174</v>
      </c>
      <c r="B27" s="44">
        <v>500</v>
      </c>
      <c r="C27" s="44">
        <v>400</v>
      </c>
      <c r="D27" s="44">
        <v>1200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F4FC-EEBD-4A40-A241-8B760FB0B9F4}">
  <sheetPr codeName="Sheet7"/>
  <dimension ref="A1:R32"/>
  <sheetViews>
    <sheetView workbookViewId="0">
      <selection activeCell="A2" sqref="A2:XFD2"/>
    </sheetView>
  </sheetViews>
  <sheetFormatPr defaultRowHeight="15" x14ac:dyDescent="0.25"/>
  <cols>
    <col min="1" max="1" width="16" customWidth="1"/>
  </cols>
  <sheetData>
    <row r="1" spans="1:18" ht="15.75" x14ac:dyDescent="0.25">
      <c r="A1" s="10" t="s">
        <v>113</v>
      </c>
      <c r="B1" s="4"/>
      <c r="C1" s="4"/>
      <c r="D1" s="4"/>
      <c r="E1" s="5"/>
      <c r="F1" s="6"/>
      <c r="G1" s="6"/>
      <c r="H1" s="4"/>
      <c r="I1" s="4"/>
      <c r="J1" s="4"/>
      <c r="K1" s="4"/>
      <c r="L1" s="4"/>
      <c r="M1" s="4"/>
      <c r="N1" s="4"/>
      <c r="O1" s="4"/>
      <c r="P1" s="4"/>
      <c r="Q1" s="4"/>
      <c r="R1" s="4"/>
    </row>
    <row r="2" spans="1:18" ht="15.75" x14ac:dyDescent="0.25">
      <c r="A2" s="74" t="s">
        <v>209</v>
      </c>
      <c r="B2" s="20"/>
      <c r="C2" s="20"/>
      <c r="D2" s="20"/>
      <c r="E2" s="21"/>
      <c r="F2" s="22"/>
      <c r="G2" s="22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ht="15.75" x14ac:dyDescent="0.25">
      <c r="A3" s="76" t="s">
        <v>210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</row>
    <row r="4" spans="1:18" ht="15.75" x14ac:dyDescent="0.25">
      <c r="A4" s="76" t="s">
        <v>189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</row>
    <row r="5" spans="1:18" ht="15.75" x14ac:dyDescent="0.25">
      <c r="A5" s="74" t="s">
        <v>211</v>
      </c>
      <c r="B5" s="20"/>
      <c r="C5" s="20"/>
      <c r="D5" s="20"/>
      <c r="E5" s="21"/>
      <c r="F5" s="22"/>
      <c r="G5" s="22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 ht="15.75" x14ac:dyDescent="0.25">
      <c r="A6" s="76" t="s">
        <v>240</v>
      </c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1:18" ht="15.75" x14ac:dyDescent="0.25">
      <c r="A7" s="76" t="s">
        <v>212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</row>
    <row r="8" spans="1:18" ht="15.75" x14ac:dyDescent="0.25">
      <c r="A8" s="76" t="s">
        <v>193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</row>
    <row r="9" spans="1:18" ht="15.75" x14ac:dyDescent="0.25">
      <c r="A9" s="89" t="s">
        <v>194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</row>
    <row r="10" spans="1:18" ht="15.75" x14ac:dyDescent="0.25">
      <c r="A10" s="89" t="s">
        <v>213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</row>
    <row r="15" spans="1:18" x14ac:dyDescent="0.25">
      <c r="A15" s="85" t="s">
        <v>215</v>
      </c>
      <c r="B15" s="86"/>
      <c r="C15" s="86"/>
      <c r="D15" s="86"/>
      <c r="E15" s="86"/>
      <c r="F15" s="86"/>
    </row>
    <row r="16" spans="1:18" x14ac:dyDescent="0.25">
      <c r="A16" s="78" t="s">
        <v>196</v>
      </c>
      <c r="B16" s="42" t="s">
        <v>206</v>
      </c>
      <c r="C16" s="42" t="s">
        <v>207</v>
      </c>
      <c r="D16" s="42" t="s">
        <v>208</v>
      </c>
      <c r="E16" s="84" t="s">
        <v>197</v>
      </c>
      <c r="F16" s="84" t="s">
        <v>198</v>
      </c>
    </row>
    <row r="17" spans="1:6" x14ac:dyDescent="0.25">
      <c r="A17" s="79" t="s">
        <v>175</v>
      </c>
      <c r="B17" s="67">
        <v>1</v>
      </c>
      <c r="C17" s="67">
        <v>0</v>
      </c>
      <c r="D17" s="67">
        <v>0</v>
      </c>
      <c r="E17" s="68">
        <f>SUM(B17:D17)</f>
        <v>1</v>
      </c>
      <c r="F17" s="44">
        <v>304</v>
      </c>
    </row>
    <row r="18" spans="1:6" x14ac:dyDescent="0.25">
      <c r="A18" s="79" t="s">
        <v>176</v>
      </c>
      <c r="B18" s="67">
        <v>1</v>
      </c>
      <c r="C18" s="67">
        <v>0</v>
      </c>
      <c r="D18" s="67">
        <v>0</v>
      </c>
      <c r="E18" s="68">
        <f t="shared" ref="E18:E24" si="0">SUM(B18:D18)</f>
        <v>1</v>
      </c>
      <c r="F18" s="44">
        <v>184</v>
      </c>
    </row>
    <row r="19" spans="1:6" x14ac:dyDescent="0.25">
      <c r="A19" s="79" t="s">
        <v>177</v>
      </c>
      <c r="B19" s="67">
        <v>0</v>
      </c>
      <c r="C19" s="67">
        <v>0</v>
      </c>
      <c r="D19" s="67">
        <v>1</v>
      </c>
      <c r="E19" s="68">
        <f t="shared" si="0"/>
        <v>1</v>
      </c>
      <c r="F19" s="44">
        <v>140</v>
      </c>
    </row>
    <row r="20" spans="1:6" x14ac:dyDescent="0.25">
      <c r="A20" s="79" t="s">
        <v>178</v>
      </c>
      <c r="B20" s="67">
        <v>0</v>
      </c>
      <c r="C20" s="67">
        <v>0</v>
      </c>
      <c r="D20" s="67">
        <v>1</v>
      </c>
      <c r="E20" s="68">
        <f t="shared" si="0"/>
        <v>1</v>
      </c>
      <c r="F20" s="44">
        <v>110</v>
      </c>
    </row>
    <row r="21" spans="1:6" x14ac:dyDescent="0.25">
      <c r="A21" s="79" t="s">
        <v>179</v>
      </c>
      <c r="B21" s="67">
        <v>1</v>
      </c>
      <c r="C21" s="67">
        <v>0</v>
      </c>
      <c r="D21" s="67">
        <v>0</v>
      </c>
      <c r="E21" s="68">
        <f t="shared" si="0"/>
        <v>1</v>
      </c>
      <c r="F21" s="44">
        <v>169</v>
      </c>
    </row>
    <row r="22" spans="1:6" x14ac:dyDescent="0.25">
      <c r="A22" s="79" t="s">
        <v>180</v>
      </c>
      <c r="B22" s="67">
        <v>0</v>
      </c>
      <c r="C22" s="67">
        <v>0</v>
      </c>
      <c r="D22" s="67">
        <v>1</v>
      </c>
      <c r="E22" s="68">
        <f t="shared" si="0"/>
        <v>1</v>
      </c>
      <c r="F22" s="44">
        <v>236</v>
      </c>
    </row>
    <row r="23" spans="1:6" x14ac:dyDescent="0.25">
      <c r="A23" s="79" t="s">
        <v>181</v>
      </c>
      <c r="B23" s="67">
        <v>0</v>
      </c>
      <c r="C23" s="67">
        <v>1</v>
      </c>
      <c r="D23" s="67">
        <v>0</v>
      </c>
      <c r="E23" s="68">
        <f t="shared" si="0"/>
        <v>1</v>
      </c>
      <c r="F23" s="44">
        <v>285</v>
      </c>
    </row>
    <row r="24" spans="1:6" x14ac:dyDescent="0.25">
      <c r="A24" s="79" t="s">
        <v>182</v>
      </c>
      <c r="B24" s="67">
        <v>0</v>
      </c>
      <c r="C24" s="67">
        <v>1</v>
      </c>
      <c r="D24" s="67">
        <v>0</v>
      </c>
      <c r="E24" s="68">
        <f t="shared" si="0"/>
        <v>1</v>
      </c>
      <c r="F24" s="44">
        <v>366</v>
      </c>
    </row>
    <row r="26" spans="1:6" x14ac:dyDescent="0.25">
      <c r="A26" s="42" t="s">
        <v>199</v>
      </c>
      <c r="B26" s="68">
        <f>SUMPRODUCT(Toll_Truck,Demand)</f>
        <v>657</v>
      </c>
      <c r="C26" s="68">
        <f>SUMPRODUCT(City_Truck,Demand)</f>
        <v>651</v>
      </c>
      <c r="D26" s="68">
        <f>SUMPRODUCT(Mini_Truck,Demand)</f>
        <v>486</v>
      </c>
    </row>
    <row r="27" spans="1:6" x14ac:dyDescent="0.25">
      <c r="A27" s="42" t="s">
        <v>200</v>
      </c>
      <c r="B27" s="68">
        <f>SUM(Toll_Truck)</f>
        <v>3</v>
      </c>
      <c r="C27" s="68">
        <f>SUM(City_Truck)</f>
        <v>2</v>
      </c>
      <c r="D27" s="68">
        <f>SUM(Mini_Truck)</f>
        <v>3</v>
      </c>
    </row>
    <row r="28" spans="1:6" x14ac:dyDescent="0.25">
      <c r="A28" s="42" t="s">
        <v>201</v>
      </c>
      <c r="B28" s="44">
        <v>700</v>
      </c>
      <c r="C28" s="44">
        <v>1000</v>
      </c>
      <c r="D28" s="44">
        <v>500</v>
      </c>
    </row>
    <row r="29" spans="1:6" x14ac:dyDescent="0.25">
      <c r="A29" s="42" t="s">
        <v>202</v>
      </c>
      <c r="B29" s="69">
        <v>10</v>
      </c>
      <c r="C29" s="69">
        <v>7</v>
      </c>
      <c r="D29" s="69">
        <v>12</v>
      </c>
    </row>
    <row r="30" spans="1:6" x14ac:dyDescent="0.25">
      <c r="A30" s="42" t="s">
        <v>203</v>
      </c>
      <c r="B30" s="44">
        <v>15</v>
      </c>
      <c r="C30" s="44">
        <v>25</v>
      </c>
      <c r="D30" s="44">
        <v>5</v>
      </c>
    </row>
    <row r="31" spans="1:6" x14ac:dyDescent="0.25">
      <c r="A31" s="42" t="s">
        <v>204</v>
      </c>
      <c r="B31" s="72">
        <f>SUMPRODUCT(Number_Stops,Cost_per_Stop)</f>
        <v>80</v>
      </c>
    </row>
    <row r="32" spans="1:6" x14ac:dyDescent="0.25">
      <c r="A32" s="42" t="s">
        <v>205</v>
      </c>
      <c r="B32" s="90">
        <f>SUMPRODUCT(Number_Stops,Time_per_Stop)</f>
        <v>110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598EF-6BAE-453F-B2A0-E9FCB842F801}">
  <sheetPr codeName="Sheet8"/>
  <dimension ref="A1:S26"/>
  <sheetViews>
    <sheetView workbookViewId="0">
      <selection activeCell="F13" sqref="F13"/>
    </sheetView>
  </sheetViews>
  <sheetFormatPr defaultRowHeight="15" x14ac:dyDescent="0.25"/>
  <cols>
    <col min="1" max="1" width="16.7109375" style="2" customWidth="1"/>
    <col min="5" max="5" width="12.28515625" bestFit="1" customWidth="1"/>
    <col min="6" max="6" width="11.28515625" bestFit="1" customWidth="1"/>
  </cols>
  <sheetData>
    <row r="1" spans="1:19" ht="15.75" x14ac:dyDescent="0.25">
      <c r="A1" s="73" t="s">
        <v>114</v>
      </c>
      <c r="B1" s="4"/>
      <c r="C1" s="4"/>
      <c r="D1" s="4"/>
      <c r="E1" s="5"/>
      <c r="F1" s="6"/>
      <c r="G1" s="6"/>
      <c r="H1" s="6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 ht="15.75" x14ac:dyDescent="0.25">
      <c r="A2" s="74" t="s">
        <v>234</v>
      </c>
      <c r="B2" s="20"/>
      <c r="C2" s="20"/>
      <c r="D2" s="20"/>
      <c r="E2" s="21"/>
      <c r="F2" s="22"/>
      <c r="G2" s="22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9" ht="15.75" x14ac:dyDescent="0.25">
      <c r="A3" s="76" t="s">
        <v>235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</row>
    <row r="4" spans="1:19" ht="15.75" x14ac:dyDescent="0.25">
      <c r="A4" s="76" t="s">
        <v>189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</row>
    <row r="5" spans="1:19" ht="15.75" x14ac:dyDescent="0.25">
      <c r="A5" s="74" t="s">
        <v>236</v>
      </c>
      <c r="B5" s="20"/>
      <c r="C5" s="20"/>
      <c r="D5" s="20"/>
      <c r="E5" s="21"/>
      <c r="F5" s="22"/>
      <c r="G5" s="22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9" ht="15.75" x14ac:dyDescent="0.25">
      <c r="A6" s="76" t="s">
        <v>240</v>
      </c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1:19" ht="15.75" x14ac:dyDescent="0.25">
      <c r="A7" s="89" t="s">
        <v>248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</row>
    <row r="8" spans="1:19" ht="15.75" x14ac:dyDescent="0.25">
      <c r="A8" s="89" t="s">
        <v>246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</row>
    <row r="9" spans="1:19" ht="15.75" x14ac:dyDescent="0.25">
      <c r="A9" s="89" t="s">
        <v>237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</row>
    <row r="10" spans="1:19" ht="15.75" x14ac:dyDescent="0.25">
      <c r="A10" s="89" t="s">
        <v>213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</row>
    <row r="11" spans="1:19" x14ac:dyDescent="0.25">
      <c r="A11"/>
    </row>
    <row r="13" spans="1:19" x14ac:dyDescent="0.25">
      <c r="A13" s="88" t="s">
        <v>239</v>
      </c>
      <c r="B13" s="86"/>
      <c r="C13" s="86"/>
      <c r="D13" s="86"/>
      <c r="E13" s="86"/>
      <c r="F13" s="86"/>
      <c r="G13" s="86"/>
      <c r="H13" s="86"/>
      <c r="I13" s="86"/>
    </row>
    <row r="14" spans="1:19" x14ac:dyDescent="0.25">
      <c r="A14" s="78" t="s">
        <v>238</v>
      </c>
      <c r="B14" s="42" t="s">
        <v>216</v>
      </c>
      <c r="C14" s="42" t="s">
        <v>217</v>
      </c>
      <c r="D14" s="42" t="s">
        <v>218</v>
      </c>
      <c r="E14" s="84" t="s">
        <v>219</v>
      </c>
      <c r="F14" s="84" t="s">
        <v>220</v>
      </c>
      <c r="G14" s="42" t="s">
        <v>221</v>
      </c>
      <c r="H14" s="42" t="s">
        <v>222</v>
      </c>
      <c r="I14" s="42" t="s">
        <v>223</v>
      </c>
    </row>
    <row r="15" spans="1:19" x14ac:dyDescent="0.25">
      <c r="A15" s="79" t="s">
        <v>226</v>
      </c>
      <c r="B15" s="67">
        <v>1</v>
      </c>
      <c r="C15" s="67">
        <v>1</v>
      </c>
      <c r="D15" s="67">
        <v>0</v>
      </c>
      <c r="E15" s="68">
        <f>SUM(B15:D15)</f>
        <v>2</v>
      </c>
      <c r="F15" s="44">
        <v>2</v>
      </c>
      <c r="G15" s="91">
        <v>1</v>
      </c>
      <c r="H15" s="91">
        <v>1</v>
      </c>
      <c r="I15" s="91">
        <v>0</v>
      </c>
    </row>
    <row r="16" spans="1:19" x14ac:dyDescent="0.25">
      <c r="A16" s="79" t="s">
        <v>227</v>
      </c>
      <c r="B16" s="67">
        <v>1</v>
      </c>
      <c r="C16" s="67">
        <v>1</v>
      </c>
      <c r="D16" s="67">
        <v>0</v>
      </c>
      <c r="E16" s="68">
        <f t="shared" ref="E16:E21" si="0">SUM(B16:D16)</f>
        <v>2</v>
      </c>
      <c r="F16" s="44">
        <v>2</v>
      </c>
      <c r="G16" s="91">
        <v>1</v>
      </c>
      <c r="H16" s="91">
        <v>1</v>
      </c>
      <c r="I16" s="91">
        <v>0</v>
      </c>
    </row>
    <row r="17" spans="1:9" x14ac:dyDescent="0.25">
      <c r="A17" s="79" t="s">
        <v>228</v>
      </c>
      <c r="B17" s="67">
        <v>1</v>
      </c>
      <c r="C17" s="67">
        <v>1</v>
      </c>
      <c r="D17" s="67">
        <v>0</v>
      </c>
      <c r="E17" s="68">
        <f t="shared" si="0"/>
        <v>2</v>
      </c>
      <c r="F17" s="44">
        <v>2</v>
      </c>
      <c r="G17" s="91">
        <v>1</v>
      </c>
      <c r="H17" s="91">
        <v>1</v>
      </c>
      <c r="I17" s="91">
        <v>0</v>
      </c>
    </row>
    <row r="18" spans="1:9" x14ac:dyDescent="0.25">
      <c r="A18" s="79" t="s">
        <v>229</v>
      </c>
      <c r="B18" s="67">
        <v>0</v>
      </c>
      <c r="C18" s="67">
        <v>1</v>
      </c>
      <c r="D18" s="67">
        <v>1</v>
      </c>
      <c r="E18" s="68">
        <f t="shared" si="0"/>
        <v>2</v>
      </c>
      <c r="F18" s="44">
        <v>2</v>
      </c>
      <c r="G18" s="91">
        <v>0</v>
      </c>
      <c r="H18" s="91">
        <v>1</v>
      </c>
      <c r="I18" s="91">
        <v>1</v>
      </c>
    </row>
    <row r="19" spans="1:9" x14ac:dyDescent="0.25">
      <c r="A19" s="79" t="s">
        <v>230</v>
      </c>
      <c r="B19" s="67">
        <v>0</v>
      </c>
      <c r="C19" s="67">
        <v>1</v>
      </c>
      <c r="D19" s="67">
        <v>1</v>
      </c>
      <c r="E19" s="68">
        <f t="shared" si="0"/>
        <v>2</v>
      </c>
      <c r="F19" s="44">
        <v>2</v>
      </c>
      <c r="G19" s="91">
        <v>0</v>
      </c>
      <c r="H19" s="91">
        <v>1</v>
      </c>
      <c r="I19" s="91">
        <v>1</v>
      </c>
    </row>
    <row r="20" spans="1:9" x14ac:dyDescent="0.25">
      <c r="A20" s="79" t="s">
        <v>231</v>
      </c>
      <c r="B20" s="67">
        <v>0</v>
      </c>
      <c r="C20" s="67">
        <v>0</v>
      </c>
      <c r="D20" s="67">
        <v>1</v>
      </c>
      <c r="E20" s="68">
        <f t="shared" si="0"/>
        <v>1</v>
      </c>
      <c r="F20" s="44">
        <v>2</v>
      </c>
      <c r="G20" s="91">
        <v>0</v>
      </c>
      <c r="H20" s="91">
        <v>1</v>
      </c>
      <c r="I20" s="91">
        <v>1</v>
      </c>
    </row>
    <row r="21" spans="1:9" x14ac:dyDescent="0.25">
      <c r="A21" s="79" t="s">
        <v>232</v>
      </c>
      <c r="B21" s="67">
        <v>0</v>
      </c>
      <c r="C21" s="67">
        <v>0</v>
      </c>
      <c r="D21" s="67">
        <v>1</v>
      </c>
      <c r="E21" s="68">
        <f t="shared" si="0"/>
        <v>1</v>
      </c>
      <c r="F21" s="44">
        <v>2</v>
      </c>
      <c r="G21" s="91">
        <v>0</v>
      </c>
      <c r="H21" s="91">
        <v>1</v>
      </c>
      <c r="I21" s="91">
        <v>1</v>
      </c>
    </row>
    <row r="23" spans="1:9" x14ac:dyDescent="0.25">
      <c r="A23" s="78" t="s">
        <v>224</v>
      </c>
      <c r="B23" s="68">
        <f>SUM(B15:B21)</f>
        <v>3</v>
      </c>
      <c r="C23" s="68">
        <f>SUM(C15:C21)</f>
        <v>5</v>
      </c>
      <c r="D23" s="68">
        <f>SUM(D15:D21)</f>
        <v>4</v>
      </c>
    </row>
    <row r="24" spans="1:9" x14ac:dyDescent="0.25">
      <c r="A24" s="78" t="s">
        <v>225</v>
      </c>
      <c r="B24" s="44">
        <v>5</v>
      </c>
      <c r="C24" s="44">
        <v>5</v>
      </c>
      <c r="D24" s="44">
        <v>5</v>
      </c>
    </row>
    <row r="25" spans="1:9" x14ac:dyDescent="0.25">
      <c r="A25" s="78" t="s">
        <v>233</v>
      </c>
      <c r="B25" s="69">
        <v>60</v>
      </c>
    </row>
    <row r="26" spans="1:9" x14ac:dyDescent="0.25">
      <c r="A26" s="78" t="s">
        <v>214</v>
      </c>
      <c r="B26" s="72">
        <f>SUM(Shifts_per_Staff)*B25</f>
        <v>720</v>
      </c>
    </row>
  </sheetData>
  <phoneticPr fontId="3" type="noConversion"/>
  <conditionalFormatting sqref="A14:I21">
    <cfRule type="expression" dxfId="0" priority="1">
      <formula>$E15&lt;$F15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78</vt:i4>
      </vt:variant>
    </vt:vector>
  </HeadingPairs>
  <TitlesOfParts>
    <vt:vector size="85" baseType="lpstr">
      <vt:lpstr>L13</vt:lpstr>
      <vt:lpstr>L14</vt:lpstr>
      <vt:lpstr>L15.1</vt:lpstr>
      <vt:lpstr>L15.2</vt:lpstr>
      <vt:lpstr>L16.1</vt:lpstr>
      <vt:lpstr>L16.2</vt:lpstr>
      <vt:lpstr>L16.3</vt:lpstr>
      <vt:lpstr>ABS_P1_P2_Price</vt:lpstr>
      <vt:lpstr>Actual_Sales</vt:lpstr>
      <vt:lpstr>Allocation</vt:lpstr>
      <vt:lpstr>Avail1</vt:lpstr>
      <vt:lpstr>Avail2</vt:lpstr>
      <vt:lpstr>Avail3</vt:lpstr>
      <vt:lpstr>L15.2!Available_Funds</vt:lpstr>
      <vt:lpstr>Available_Funds</vt:lpstr>
      <vt:lpstr>Available_Supply</vt:lpstr>
      <vt:lpstr>Capacity</vt:lpstr>
      <vt:lpstr>cFish</vt:lpstr>
      <vt:lpstr>City_Truck</vt:lpstr>
      <vt:lpstr>Cost_per_Stop</vt:lpstr>
      <vt:lpstr>cSteak</vt:lpstr>
      <vt:lpstr>cTable</vt:lpstr>
      <vt:lpstr>Current_Inventory</vt:lpstr>
      <vt:lpstr>Delivered</vt:lpstr>
      <vt:lpstr>Demand</vt:lpstr>
      <vt:lpstr>Expected_Demand</vt:lpstr>
      <vt:lpstr>Expected_Returns</vt:lpstr>
      <vt:lpstr>Expected_Risk</vt:lpstr>
      <vt:lpstr>HistOut</vt:lpstr>
      <vt:lpstr>Investment</vt:lpstr>
      <vt:lpstr>InvTStart</vt:lpstr>
      <vt:lpstr>Lost_Sales</vt:lpstr>
      <vt:lpstr>Lost_Sales_Cost</vt:lpstr>
      <vt:lpstr>Max_Allocation</vt:lpstr>
      <vt:lpstr>Max_Shifts</vt:lpstr>
      <vt:lpstr>Min_Allocation</vt:lpstr>
      <vt:lpstr>Min_to_Select</vt:lpstr>
      <vt:lpstr>Mini_Truck</vt:lpstr>
      <vt:lpstr>nGuests</vt:lpstr>
      <vt:lpstr>nTables</vt:lpstr>
      <vt:lpstr>Number_Stops</vt:lpstr>
      <vt:lpstr>Order_Cost</vt:lpstr>
      <vt:lpstr>Order_Quantity</vt:lpstr>
      <vt:lpstr>P1_Sales</vt:lpstr>
      <vt:lpstr>p1sales</vt:lpstr>
      <vt:lpstr>P2_Price</vt:lpstr>
      <vt:lpstr>Pay_per_Shift</vt:lpstr>
      <vt:lpstr>pFish</vt:lpstr>
      <vt:lpstr>PIntervals</vt:lpstr>
      <vt:lpstr>pSteak</vt:lpstr>
      <vt:lpstr>Report</vt:lpstr>
      <vt:lpstr>Return_Rate</vt:lpstr>
      <vt:lpstr>Risk_Rate</vt:lpstr>
      <vt:lpstr>Sales_Price</vt:lpstr>
      <vt:lpstr>Selected</vt:lpstr>
      <vt:lpstr>Shifts</vt:lpstr>
      <vt:lpstr>Shifts_per_Staff</vt:lpstr>
      <vt:lpstr>ShipCost</vt:lpstr>
      <vt:lpstr>ShipDV</vt:lpstr>
      <vt:lpstr>Staff_Assigned</vt:lpstr>
      <vt:lpstr>Staff_Needed</vt:lpstr>
      <vt:lpstr>StaffAvail</vt:lpstr>
      <vt:lpstr>StaffDV</vt:lpstr>
      <vt:lpstr>StatusBar</vt:lpstr>
      <vt:lpstr>Time_per_Stop</vt:lpstr>
      <vt:lpstr>Toll_Truck</vt:lpstr>
      <vt:lpstr>Total_Assign_Cost</vt:lpstr>
      <vt:lpstr>Total_Assign_Time</vt:lpstr>
      <vt:lpstr>Total_Cost</vt:lpstr>
      <vt:lpstr>Total_Costs</vt:lpstr>
      <vt:lpstr>Total_Demand</vt:lpstr>
      <vt:lpstr>Total_From_WH</vt:lpstr>
      <vt:lpstr>Total_Holding</vt:lpstr>
      <vt:lpstr>Total_Invested</vt:lpstr>
      <vt:lpstr>Total_Load</vt:lpstr>
      <vt:lpstr>Total_Order</vt:lpstr>
      <vt:lpstr>Total_Pay_Cost</vt:lpstr>
      <vt:lpstr>Total_Profit</vt:lpstr>
      <vt:lpstr>Total_Revenue</vt:lpstr>
      <vt:lpstr>Total_Selected</vt:lpstr>
      <vt:lpstr>Total_To_City</vt:lpstr>
      <vt:lpstr>TotalCost</vt:lpstr>
      <vt:lpstr>TruckDV</vt:lpstr>
      <vt:lpstr>TStart</vt:lpstr>
      <vt:lpstr>Updated_Inventory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Vesethmollyka VAR</cp:lastModifiedBy>
  <dcterms:created xsi:type="dcterms:W3CDTF">2019-07-06T18:28:48Z</dcterms:created>
  <dcterms:modified xsi:type="dcterms:W3CDTF">2024-10-05T12:15:53Z</dcterms:modified>
</cp:coreProperties>
</file>